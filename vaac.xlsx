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icalc\Documents\UPB\Calificaciones\"/>
    </mc:Choice>
  </mc:AlternateContent>
  <xr:revisionPtr revIDLastSave="0" documentId="13_ncr:1_{C1C0DE6A-E241-4A16-BD3D-761C4D33EF51}" xr6:coauthVersionLast="36" xr6:coauthVersionMax="36" xr10:uidLastSave="{00000000-0000-0000-0000-000000000000}"/>
  <bookViews>
    <workbookView xWindow="0" yWindow="0" windowWidth="22260" windowHeight="12648" activeTab="7" xr2:uid="{00000000-000D-0000-FFFF-FFFF00000000}"/>
  </bookViews>
  <sheets>
    <sheet name="Hoja1" sheetId="1" r:id="rId1"/>
    <sheet name="EST1" sheetId="2" r:id="rId2"/>
    <sheet name="EST2" sheetId="3" r:id="rId3"/>
    <sheet name="SLI" sheetId="4" r:id="rId4"/>
    <sheet name="2403" sheetId="5" r:id="rId5"/>
    <sheet name="2501" sheetId="6" r:id="rId6"/>
    <sheet name="2502" sheetId="7" r:id="rId7"/>
    <sheet name="250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1" l="1"/>
  <c r="E34" i="1"/>
  <c r="E33" i="1"/>
  <c r="I28" i="1"/>
  <c r="H28" i="1"/>
  <c r="G28" i="1"/>
  <c r="F28" i="1"/>
  <c r="E32" i="1"/>
  <c r="D30" i="1"/>
  <c r="C30" i="1"/>
  <c r="B30" i="1"/>
  <c r="A30" i="1"/>
  <c r="I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D28" i="1" l="1"/>
  <c r="C28" i="1"/>
  <c r="B28" i="1"/>
  <c r="A28" i="1"/>
</calcChain>
</file>

<file path=xl/sharedStrings.xml><?xml version="1.0" encoding="utf-8"?>
<sst xmlns="http://schemas.openxmlformats.org/spreadsheetml/2006/main" count="1805" uniqueCount="454">
  <si>
    <t>DIN-4D</t>
  </si>
  <si>
    <t>ALL-1C</t>
  </si>
  <si>
    <t>TMM-7A</t>
  </si>
  <si>
    <t>TMM-7B</t>
  </si>
  <si>
    <t>total =</t>
  </si>
  <si>
    <t>aprobados=</t>
  </si>
  <si>
    <t>reprobados</t>
  </si>
  <si>
    <t>uno23</t>
  </si>
  <si>
    <t>JESUS</t>
  </si>
  <si>
    <t>MARIA</t>
  </si>
  <si>
    <t>SANCHEZ</t>
  </si>
  <si>
    <t>JOSE</t>
  </si>
  <si>
    <t>DE</t>
  </si>
  <si>
    <t>HERNANDEZ</t>
  </si>
  <si>
    <t>NICOLAS</t>
  </si>
  <si>
    <t>GUADALUPE</t>
  </si>
  <si>
    <t>VAZQUEZ</t>
  </si>
  <si>
    <t>RAMIREZ</t>
  </si>
  <si>
    <t>ALMAGUER</t>
  </si>
  <si>
    <t>LOPEZ</t>
  </si>
  <si>
    <t>uno23B</t>
  </si>
  <si>
    <t>ABUNDIS</t>
  </si>
  <si>
    <t>ROJAS</t>
  </si>
  <si>
    <t>DARLENE</t>
  </si>
  <si>
    <t>BALDERAS</t>
  </si>
  <si>
    <t>CENDEJAS</t>
  </si>
  <si>
    <t>EMILIO</t>
  </si>
  <si>
    <t>BONILLA</t>
  </si>
  <si>
    <t>DONALDO</t>
  </si>
  <si>
    <t>ELEONARY</t>
  </si>
  <si>
    <t>CERVANTES</t>
  </si>
  <si>
    <t>MONTES</t>
  </si>
  <si>
    <t>LAURA</t>
  </si>
  <si>
    <t>DANIELA</t>
  </si>
  <si>
    <t>CHAVEZ</t>
  </si>
  <si>
    <t>BELMAN</t>
  </si>
  <si>
    <t>QUITXIA</t>
  </si>
  <si>
    <t>MERARI</t>
  </si>
  <si>
    <t>GONZALEZ</t>
  </si>
  <si>
    <t>LUZ</t>
  </si>
  <si>
    <t>FERNANDA</t>
  </si>
  <si>
    <t>GRANADOS</t>
  </si>
  <si>
    <t>ROMERO</t>
  </si>
  <si>
    <t>KARLA</t>
  </si>
  <si>
    <t>XIMENA</t>
  </si>
  <si>
    <t>QUIJAS</t>
  </si>
  <si>
    <t>ROBERTO</t>
  </si>
  <si>
    <t>CARLOS</t>
  </si>
  <si>
    <t>TETUAN</t>
  </si>
  <si>
    <t>SAUL</t>
  </si>
  <si>
    <t>GIOVANNI</t>
  </si>
  <si>
    <t>JARAMILLO</t>
  </si>
  <si>
    <t>AGUILAR</t>
  </si>
  <si>
    <t>LEPEZ</t>
  </si>
  <si>
    <t>ALFARO</t>
  </si>
  <si>
    <t>PORRAS</t>
  </si>
  <si>
    <t>YAHAIRA</t>
  </si>
  <si>
    <t>MANRIQUEZ</t>
  </si>
  <si>
    <t>PACHECO</t>
  </si>
  <si>
    <t>CRISTOBAL</t>
  </si>
  <si>
    <t>MENDOZA</t>
  </si>
  <si>
    <t>KASSANDRA</t>
  </si>
  <si>
    <t>MIRANDA</t>
  </si>
  <si>
    <t>REYES</t>
  </si>
  <si>
    <t>PAOLA</t>
  </si>
  <si>
    <t>VALERIA</t>
  </si>
  <si>
    <t>NILA</t>
  </si>
  <si>
    <t>ROCIO</t>
  </si>
  <si>
    <t>NESTOR</t>
  </si>
  <si>
    <t>OLMOS</t>
  </si>
  <si>
    <t>OLMEDO</t>
  </si>
  <si>
    <t>FRANCISCA</t>
  </si>
  <si>
    <t>NAZARIO</t>
  </si>
  <si>
    <t>RODRIGUEZ</t>
  </si>
  <si>
    <t>LINO</t>
  </si>
  <si>
    <t>LEONARDO</t>
  </si>
  <si>
    <t>CLAUDIA</t>
  </si>
  <si>
    <t>RENATA</t>
  </si>
  <si>
    <t>SANSON</t>
  </si>
  <si>
    <t>MISAEL</t>
  </si>
  <si>
    <t>VARGAS</t>
  </si>
  <si>
    <t>PEREZ</t>
  </si>
  <si>
    <t>LUIS</t>
  </si>
  <si>
    <t>DANIEL</t>
  </si>
  <si>
    <t>AXEL</t>
  </si>
  <si>
    <t>YEPEZ</t>
  </si>
  <si>
    <t>CLAUDIO</t>
  </si>
  <si>
    <t>MATRICULA</t>
  </si>
  <si>
    <t>ALUMNO</t>
  </si>
  <si>
    <t>GENERO</t>
  </si>
  <si>
    <t>CALIFICACION</t>
  </si>
  <si>
    <t>MATERIA</t>
  </si>
  <si>
    <t>ALONSO SOTO ERNESTO RAMÓN</t>
  </si>
  <si>
    <t>BELLO DIAZ ANA PAOLA</t>
  </si>
  <si>
    <t>BOCANEGRA GUTIERREZ VIVIANA JANETH</t>
  </si>
  <si>
    <t>CAUDILLO REGALADO MIGUEL ALEJANDRO</t>
  </si>
  <si>
    <t>DELGADO RODRIGUEZ EDGAR JESUS</t>
  </si>
  <si>
    <t>FUENTES PARRA ANA CAMILA</t>
  </si>
  <si>
    <t>GOMEZ MENDEZ JORGE CARLOS</t>
  </si>
  <si>
    <t>GONZALEZ VAZQUEZ JUAN JOSE</t>
  </si>
  <si>
    <t>HERNANDEZ CORRALEJO FATIMA ANAYELI</t>
  </si>
  <si>
    <t>LOPEZ CABRERA JOSE GUADALUPE</t>
  </si>
  <si>
    <t>LOPEZ CABRERA MIRNA AZENETH</t>
  </si>
  <si>
    <t>LOPEZ ROMERO HECTOR DE JESUS</t>
  </si>
  <si>
    <t>LOZANO MENDEZ RAFAEL EVERARDO</t>
  </si>
  <si>
    <t>MANRIQUEZ PALACIOS DANIEL ISAI</t>
  </si>
  <si>
    <t>OJEDA SIERRA CYNTHIA PAOLA</t>
  </si>
  <si>
    <t>PADILLA CISNEROS EVA MARIA</t>
  </si>
  <si>
    <t>PEREZ ALFARO NELLY JAZMIN</t>
  </si>
  <si>
    <t>PEREZ MARIQUEZ JOSE MANUEL</t>
  </si>
  <si>
    <t>RAMIREZ GOMEZ DANIELA FERNANDA</t>
  </si>
  <si>
    <t>RAYA MORALES JAIRO DANIEL</t>
  </si>
  <si>
    <t>RODRIGUEZ PALACIOS EVELYN</t>
  </si>
  <si>
    <t>RODRIGUEZ  PEREZ ANGEL SEBASTIAN</t>
  </si>
  <si>
    <t>SANCHEZ ESPARZA YULISA</t>
  </si>
  <si>
    <t>TORRES CEDILLO YAEL EMMANUEL</t>
  </si>
  <si>
    <t>ZAMORA REYES JULIA ESTEFANIA</t>
  </si>
  <si>
    <t>H</t>
  </si>
  <si>
    <t>M</t>
  </si>
  <si>
    <t>TMT</t>
  </si>
  <si>
    <t>GRUPO</t>
  </si>
  <si>
    <t>6A</t>
  </si>
  <si>
    <t>ARELLANO PEREZ ARIADNA NAYELI</t>
  </si>
  <si>
    <t>CAMPOS RODRIGUEZ CINDY YATZIRI</t>
  </si>
  <si>
    <t>Castro Samano Julieta</t>
  </si>
  <si>
    <t>CAUDILLO HERNANDEZ ANDRES</t>
  </si>
  <si>
    <t>CORONA CÓRDOBA KEVIN ISMAEL</t>
  </si>
  <si>
    <t>CRUCES REYES BRAULIO</t>
  </si>
  <si>
    <t>FLORES OLGUIN JESUS</t>
  </si>
  <si>
    <t>GARCIA FERRER EMILIANO ABEL</t>
  </si>
  <si>
    <t>GARCÍA SANDOVAL KAREN GUADALUPE</t>
  </si>
  <si>
    <t>GASPAR ANGELES ALEXANDER</t>
  </si>
  <si>
    <t>GONZALEZ MEXICANO ALAN ISRAEL</t>
  </si>
  <si>
    <t>GUERRERO LUGO OSCAR RODOLFO</t>
  </si>
  <si>
    <t>GUERRERO VILLASEÑOR PEDRO ENRIQUE</t>
  </si>
  <si>
    <t>GUTIERREZ HERNANDEZ GERARDO</t>
  </si>
  <si>
    <t>HERNÁNDEZ PEÑUELAS ASAEL</t>
  </si>
  <si>
    <t>JASSO RAMÍREZ AMÉRICA FERNANDA</t>
  </si>
  <si>
    <t>LANDEROS ROCHA MARÍA JOSÉ</t>
  </si>
  <si>
    <t>LUGO SÁNCHEZ GERARDO JAIR</t>
  </si>
  <si>
    <t>MAGAÑA RAMOS LUIS ANTONIO</t>
  </si>
  <si>
    <t>MENDOZA TAVERA CARLOS SANTIAGO</t>
  </si>
  <si>
    <t>OLIVA GUERRERO LEONARDO</t>
  </si>
  <si>
    <t>PACHECO SORIA JOSÉ MANUEL</t>
  </si>
  <si>
    <t>ROCHA PÉREZ MARÍA FERNANDA</t>
  </si>
  <si>
    <t>RODRÍGUEZ BALANDRAN LUIS PEDRO</t>
  </si>
  <si>
    <t>TORRES BONILLA GEORGINA</t>
  </si>
  <si>
    <t>Padilla Ponce Juan Diego</t>
  </si>
  <si>
    <t>7A</t>
  </si>
  <si>
    <t>TMM</t>
  </si>
  <si>
    <t>FALTAS</t>
  </si>
  <si>
    <t>Arenas Meza Orlando</t>
  </si>
  <si>
    <t>ARREDONDO NAFARRATE JOCSAN</t>
  </si>
  <si>
    <t>ARZOLA RODRIGUEZ GISELLE CAROLINA</t>
  </si>
  <si>
    <t>Elias Araujo Jesus Emanuel</t>
  </si>
  <si>
    <t>GONZÁLEZ GONZÁLEZ MARÍA FERNANDA</t>
  </si>
  <si>
    <t>GONZALEZ HERNÁNDEZ EDIEL GIOVANNI</t>
  </si>
  <si>
    <t>HERNANDEZ BARROSO CESAR DANIEL</t>
  </si>
  <si>
    <t>HERNANDEZ PARTIDA RICARDO DANIEL</t>
  </si>
  <si>
    <t>LOPEZ ESPINOZA DIEGO BAUDELIO</t>
  </si>
  <si>
    <t>LOZANO MÉNDEZ RAFAEL EVERARDO</t>
  </si>
  <si>
    <t>MANRIQUEZ VALDEZ YURENI GABRIEL</t>
  </si>
  <si>
    <t>MARTÍNEZ RUIZ LUIS GUILLERMO</t>
  </si>
  <si>
    <t>MUÑIZ FERNÁNDEZ LEONARDO SAÚL</t>
  </si>
  <si>
    <t>NILA MÉNDEZ LEONARDO DANIEL</t>
  </si>
  <si>
    <t>OLIVA PÉREZ ÁLVARO DE JESÚS</t>
  </si>
  <si>
    <t>PADRON MEDRANO VICTORIA</t>
  </si>
  <si>
    <t>PIZENO RAMÍREZ ALONDRA</t>
  </si>
  <si>
    <t>RAMÍREZ ARANDA ALAN ALEXIS</t>
  </si>
  <si>
    <t>Rangel Lopez Luis Rey</t>
  </si>
  <si>
    <t>RICO PEREZ ALMA JAZMIN</t>
  </si>
  <si>
    <t>RODRÍGUEZ BARRÓN JULIETA DE LOS ÁNGELES</t>
  </si>
  <si>
    <t>RODRÍGUEZ MARTÍNEZ CORINA MARÍA GUADALUPE</t>
  </si>
  <si>
    <t>Ruiz Gallardo Jeremy Flavio</t>
  </si>
  <si>
    <t>Salazar Mejía Diana Beatriz</t>
  </si>
  <si>
    <t>VELÁZQUEZ ZÚÑIGA PERLA YARELI</t>
  </si>
  <si>
    <t>7B</t>
  </si>
  <si>
    <t>BLANCARTE HERNANDEZ ROBERTO JESÚS</t>
  </si>
  <si>
    <t>García Fernández José Luis</t>
  </si>
  <si>
    <t>GAYTAN ALMAGUER ZITLALY</t>
  </si>
  <si>
    <t>GOMEZ MENDEZ DANIELA LIZETH</t>
  </si>
  <si>
    <t>GUERRA CAMARILLO JESUS ALEXANDRO</t>
  </si>
  <si>
    <t>HERNÁNDEZ ANDRADE ZYANYA ANAHI</t>
  </si>
  <si>
    <t>IBARRA PÉREZ MARIA FERNANDA</t>
  </si>
  <si>
    <t>ILLESCAS SILVA LUISA FERNANDA</t>
  </si>
  <si>
    <t>LÓPEZ MARES GUADALUPE</t>
  </si>
  <si>
    <t>LOPEZ ROCHA DANIELA GUADALUPE</t>
  </si>
  <si>
    <t>MANRÍQUEZ BARROSO JESÚS SANTIAGO</t>
  </si>
  <si>
    <t>Marin Torres Raul</t>
  </si>
  <si>
    <t>MARTINEZ ORTEGA DANIELA ESTEFANIA</t>
  </si>
  <si>
    <t>Mendiola Manzano María Karina</t>
  </si>
  <si>
    <t>MIRANDA LOPEZ CHRISTIAN DANIEL</t>
  </si>
  <si>
    <t>MUÑIZ TORRES SERGIO</t>
  </si>
  <si>
    <t>Ortega Torres Luis Angel</t>
  </si>
  <si>
    <t>QUIJAS PALACIOS RICARDO ABRAHAM</t>
  </si>
  <si>
    <t>QUINTERO ARENAS MARÍA REFUGIO</t>
  </si>
  <si>
    <t>RAMOS CUELLAR ADRIAN ANTONIO</t>
  </si>
  <si>
    <t>RODRÍGUEZ RAMÍREZ DULCE ALEJANDRA</t>
  </si>
  <si>
    <t>ROMERO ALFARO JOSÉ JUAN</t>
  </si>
  <si>
    <t>VALDEZ LANDIN ANGEL PAUL</t>
  </si>
  <si>
    <t>VALENCIA LONA CAROLINA ABIGAIL</t>
  </si>
  <si>
    <t>Alanis Diaz Juan Diego</t>
  </si>
  <si>
    <t>ARAUJO YEBRA LEOBARDO JUAN JESUS</t>
  </si>
  <si>
    <t>BARAJAS AGUILERA KAROL ALBERTO</t>
  </si>
  <si>
    <t>BONILLA CUEVAS JONATHAN ADAN</t>
  </si>
  <si>
    <t>CONTRERAS ALFARO JUAN DE DIOS</t>
  </si>
  <si>
    <t xml:space="preserve">ELIAS ARAUJO JESÚS EMANUEL </t>
  </si>
  <si>
    <t>FERNANDEZ GUTIÉRREZ MISAEL ESAÚ</t>
  </si>
  <si>
    <t>García López Adolfo</t>
  </si>
  <si>
    <t>González Garnica Adriana Anahi</t>
  </si>
  <si>
    <t>GONZÁLEZ JAIME TANIA YAZMIN</t>
  </si>
  <si>
    <t>Guerrero García Sebastián</t>
  </si>
  <si>
    <t>GUTIÉRREZ MORALES CARLOS MANUEL</t>
  </si>
  <si>
    <t>HERNÁNDEZ VIEYRA YULIANA ANTONIA</t>
  </si>
  <si>
    <t>HORTA GONZÁLEZ MARÍA JOSÉ</t>
  </si>
  <si>
    <t>IBARRA QUINTERO ANAMARIA</t>
  </si>
  <si>
    <t>LÓPEZ ESPINOZA EDUARDO</t>
  </si>
  <si>
    <t>LÓPEZ MENDOZA KASSANDRA</t>
  </si>
  <si>
    <t>MARTINEZ GUERRERO DIANA LIZETH</t>
  </si>
  <si>
    <t>MEDRANO JUÁREZ SANTIAGO DANIEL</t>
  </si>
  <si>
    <t>MÉNDEZ BLANCARTE ROBERTO</t>
  </si>
  <si>
    <t>MUÑOZ GARCÍA MAURICIO</t>
  </si>
  <si>
    <t>PEREZ ALFARO MARIA ANGELES VANESSA</t>
  </si>
  <si>
    <t>PÉREZ FERNÁNDEZ JOSÉ RAÚL</t>
  </si>
  <si>
    <t>PEREZ MUÑOZ ADRIAN ENRIQUE</t>
  </si>
  <si>
    <t>Perez Zuñiga Mayra Cecilia</t>
  </si>
  <si>
    <t>RANGEL DURON YULIANA ABIGAIL</t>
  </si>
  <si>
    <t>REA ZUÑIGA FATIMA NALLELY</t>
  </si>
  <si>
    <t>REYES GARNICA MARTHA ANGELICA</t>
  </si>
  <si>
    <t>RODRÍGUEZ CUELLAR RAUL ARTURO</t>
  </si>
  <si>
    <t>TORRES HERNÁNDEZ ANDREA PAOLA</t>
  </si>
  <si>
    <t>VALDENEGRO VÁZQUEZ JOSÉ JUAN</t>
  </si>
  <si>
    <t>VÁZQUEZ GONZÁLEZ BRAULIO MANUEL</t>
  </si>
  <si>
    <t>VITAL CERVANTES DANIELA ALEJANDRA</t>
  </si>
  <si>
    <t>Zavala Rojas Ana Jimena</t>
  </si>
  <si>
    <t>3A</t>
  </si>
  <si>
    <t>EST</t>
  </si>
  <si>
    <t>7C</t>
  </si>
  <si>
    <t>CASTRO SAMANO JULIETA</t>
  </si>
  <si>
    <t>CAUDILLO HERNÁNDEZ ANDRÉS</t>
  </si>
  <si>
    <t>García Sandoval Karen Guadalupe</t>
  </si>
  <si>
    <t>Gutierrez Hernandez Gerardo</t>
  </si>
  <si>
    <t>Hernández Peñuelas Asael</t>
  </si>
  <si>
    <t>PADILLA PONCE JUAN DIEGO</t>
  </si>
  <si>
    <t>Torres Bonilla Georgina</t>
  </si>
  <si>
    <t>ZAMILPA VALDIVIA TRIGO EMMANUEL</t>
  </si>
  <si>
    <t>8A</t>
  </si>
  <si>
    <t>8C</t>
  </si>
  <si>
    <t>SLI</t>
  </si>
  <si>
    <t>BLANCARTE HERNÁNDEZ ROBERTO JESÚS</t>
  </si>
  <si>
    <t>López Mares Guadalupe</t>
  </si>
  <si>
    <t>MANRIQUEZ BARROSO JESUS SANTIAGO</t>
  </si>
  <si>
    <t>MARÍN TORRES RAÚL</t>
  </si>
  <si>
    <t>Quintero Arenas María Refugio</t>
  </si>
  <si>
    <t>RAMOS CUELLAR ADRIÁN ANTONIO</t>
  </si>
  <si>
    <t>RODRIGUEZ RAMIREZ DULCE ALEJANDRA</t>
  </si>
  <si>
    <t>ANGUIANO RAMIREZ CARLOS ARTURO</t>
  </si>
  <si>
    <t>ARENAS MEZA ORLANDO</t>
  </si>
  <si>
    <t>ELIAS ARAUJO JESUS EMANUEL</t>
  </si>
  <si>
    <t>Gonzalez Hernandez Ediel</t>
  </si>
  <si>
    <t>Hernandez Partida Ricardo Daniel</t>
  </si>
  <si>
    <t>Lopez Espinoza Diego Baudelio</t>
  </si>
  <si>
    <t>Lozano Méndez Rafael Everardo</t>
  </si>
  <si>
    <t>MUÑIZ FERNANDEZ LEONARDO SAUL</t>
  </si>
  <si>
    <t>NILA MENDEZ LEONARDO DANIEL</t>
  </si>
  <si>
    <t>Padrón Medrano Victoria</t>
  </si>
  <si>
    <t>RAMIREZ ARANDA ALAN ALEXIS</t>
  </si>
  <si>
    <t>RANGEL LOPEZ LUIS REY</t>
  </si>
  <si>
    <t>RUÍZ GALLARDO JEREMY FLAVIO</t>
  </si>
  <si>
    <t>SALAZAR MEJÍA DIANA BEATRIZ</t>
  </si>
  <si>
    <t>VELÁZQUEZ ZUÑIGA PERLA YARELI</t>
  </si>
  <si>
    <t>8B</t>
  </si>
  <si>
    <t>TDT</t>
  </si>
  <si>
    <t>ALONSO SOTO ERNESTO RAMON</t>
  </si>
  <si>
    <t>Bello Díaz Ana Paola</t>
  </si>
  <si>
    <t>BOCANEGRA GUTIERREZ VIVIANA JANET</t>
  </si>
  <si>
    <t>CAUDILLO REGALO MIGUEL ALEJANDRO</t>
  </si>
  <si>
    <t>DELGADO RODRÍGUEZ EDGAR JESÚS</t>
  </si>
  <si>
    <t>GÓMEZ MÉNDEZ JORGE CARLOS</t>
  </si>
  <si>
    <t>Hernández Corralejo Fátima Anayeli</t>
  </si>
  <si>
    <t>López Cabrera Mirna Azeneth</t>
  </si>
  <si>
    <t>MARTÍNEZ VARGAS JUAN MANUEL</t>
  </si>
  <si>
    <t>PADILLA CISNEROS EVA MARÍA</t>
  </si>
  <si>
    <t>PEREZ MANRÍQUEZ JOSE EMMANUEL</t>
  </si>
  <si>
    <t>RAMÍREZ GÓMEZ DANIELA FERNANDA</t>
  </si>
  <si>
    <t>Raya Morales Jairo Daniel</t>
  </si>
  <si>
    <t>RODRIGUEZ PALACIOS EVELIN</t>
  </si>
  <si>
    <t>Rodriguez Perez Angel Sebastian</t>
  </si>
  <si>
    <t>Torres Cedillo Yael Emmanuel</t>
  </si>
  <si>
    <t>ZAMORA REYES JULIA ESTEPHANIE</t>
  </si>
  <si>
    <t>Arredondo Beltrán Gustavo Alfonso</t>
  </si>
  <si>
    <t>CAMARILLO GUTIÉRREZ NOEMI</t>
  </si>
  <si>
    <t>DURAN RIVERA ANGEL FERNANDO</t>
  </si>
  <si>
    <t>GRANADOS GRANADOS KARLA YUNUEN</t>
  </si>
  <si>
    <t>Monroy Guevara María Guadalupe</t>
  </si>
  <si>
    <t>Padilla Luna Angel Enrique</t>
  </si>
  <si>
    <t>PEREZ VELÁZQUEZ ERNESTO</t>
  </si>
  <si>
    <t>Perez Vera Luis Fernando</t>
  </si>
  <si>
    <t>Ramirez Moreno Angel Gabriel</t>
  </si>
  <si>
    <t>RAMOS CABALLERO MIGUEL GUADALUPE</t>
  </si>
  <si>
    <t>Salazar Infante Susan Gabriela</t>
  </si>
  <si>
    <t>Yebra Sandoval Maria Guadalupe</t>
  </si>
  <si>
    <t>2A</t>
  </si>
  <si>
    <t>CDI</t>
  </si>
  <si>
    <t>ALONSO SALINAS BET ZAIDA</t>
  </si>
  <si>
    <t>Caudillo Torres Yair Emmanuel</t>
  </si>
  <si>
    <t>Delgado Gasca Edilberto</t>
  </si>
  <si>
    <t>FERNÁNDEZ ALMANZA PATRICIA ISABEL</t>
  </si>
  <si>
    <t>GARCÍA MARMOLEJO DIANA ELIZABETH</t>
  </si>
  <si>
    <t>García Pérez Juan Diego</t>
  </si>
  <si>
    <t>GONZÁLEZ MOSQUEDA MAR ITZEL</t>
  </si>
  <si>
    <t>HERNÁNDEZ SÁNCHEZ MARICRUZ</t>
  </si>
  <si>
    <t>JIMENEZ ALVARADO MAYRA ITZEL</t>
  </si>
  <si>
    <t>LINO DURÁN MARIA ARELY</t>
  </si>
  <si>
    <t>Marquez Muñoz Ximena Betel</t>
  </si>
  <si>
    <t>PÉREZ SALINAS JIMENA CAROLINA</t>
  </si>
  <si>
    <t>PEREZ ZUÑIGA MAYRA CECILIA</t>
  </si>
  <si>
    <t>PRESA PADILLA ESTRELLA ESTHEFANIA</t>
  </si>
  <si>
    <t>RAMÍREZ JUÁREZ CAMILA GERALDINE</t>
  </si>
  <si>
    <t>Ramirez Quijas Joel Andrés</t>
  </si>
  <si>
    <t>RAMÍREZ SAUCEDA ABRIL JOCELIN</t>
  </si>
  <si>
    <t>RAMOS LEÓN ALAN MIGUEL</t>
  </si>
  <si>
    <t>ROCHA SORIA MANUEL ALEJANDRO</t>
  </si>
  <si>
    <t>Rodriguez Fernández Grace Milagros</t>
  </si>
  <si>
    <t>Rojas Alfaro Emmanuel</t>
  </si>
  <si>
    <t>SANCHEZ RODRIGUEZ NAHIL EDUARDO</t>
  </si>
  <si>
    <t>TINOCO MORALES ITZAYANA ALEJANDRA</t>
  </si>
  <si>
    <t>ZAVALA CHAVEZ JOSE DE JESUS</t>
  </si>
  <si>
    <t>PIM</t>
  </si>
  <si>
    <t>Araujo Yebra Leobardo Juan Jesus</t>
  </si>
  <si>
    <t>Bastian Chavarría Luis Manuel</t>
  </si>
  <si>
    <t>CALDERÓN ALANIS JONATHAN ISMAEL MARIO</t>
  </si>
  <si>
    <t>Esparza Hernández Isaac Mauricio</t>
  </si>
  <si>
    <t>FERNANDEZ GUTIERREZ MISAEL ESAÚ</t>
  </si>
  <si>
    <t>GONZÁLEZ GARNICA ADRIANA ANAHI</t>
  </si>
  <si>
    <t>GONZÁLEZ JAIME TANIA YAZMÍN</t>
  </si>
  <si>
    <t>GUTIERREZ MORALES CARLOS MANUEL</t>
  </si>
  <si>
    <t>Hernández Vieyra Yuliana Antonia</t>
  </si>
  <si>
    <t>LOPEZ MENDOZA KASSANDRA</t>
  </si>
  <si>
    <t>MARTÍNEZ GUERRERO DIANA LIZETH</t>
  </si>
  <si>
    <t>Medrano Juárez Santiago Daniel</t>
  </si>
  <si>
    <t>Mendez Blancarte Roberto</t>
  </si>
  <si>
    <t>MUÑIZ FERNANDEZ DIEGO ISAIAS</t>
  </si>
  <si>
    <t>Perez Alfaro María Angeles Vanessa</t>
  </si>
  <si>
    <t>PÉREZ FERNÁNDEZ JOSÉ RAUL</t>
  </si>
  <si>
    <t>RANGEL DURÓN YULIANA ABIGAIL</t>
  </si>
  <si>
    <t>Rea Zuñiga Fatima Nallely</t>
  </si>
  <si>
    <t>REYES GARNICA MARTHA ANGÉLICA</t>
  </si>
  <si>
    <t>RODRÍGUEZ CUELAR RAUL ARTURO</t>
  </si>
  <si>
    <t>Rodríguez Velázquez Luis Angel</t>
  </si>
  <si>
    <t>𝚂𝚊𝚗𝚌𝚑𝚎𝚣 𝙴𝚜𝚙𝚊𝚛𝚣𝚊 𝚈𝚞𝚕𝚒𝚜𝚊</t>
  </si>
  <si>
    <t>VAZQUEZ GONZALEZ BRAULIO MANUEL</t>
  </si>
  <si>
    <t>Vital Cervantes Daniela Alejandra</t>
  </si>
  <si>
    <t>5A</t>
  </si>
  <si>
    <t>PMT</t>
  </si>
  <si>
    <t>Almanza Gutiérrez Juan José Martin Daniel</t>
  </si>
  <si>
    <t>ALVARADO YAÑEZ LIZBETH GUADALUPE</t>
  </si>
  <si>
    <t>CABRERA ARAUJO MARCOS SAMUEL</t>
  </si>
  <si>
    <t>CAMACHO HERNÁNDEZ GABRIELA DEL CARMEN</t>
  </si>
  <si>
    <t>Cardoso Pérez Claudia Berenice</t>
  </si>
  <si>
    <t>Caudillo Flores Dulce María</t>
  </si>
  <si>
    <t>CORONA VAZQUEZ JUAN ANTONIO</t>
  </si>
  <si>
    <t>GÓMEZ GONZÁLEZ JORGE URIEL</t>
  </si>
  <si>
    <t>Horta Méndez María Belén</t>
  </si>
  <si>
    <t>IBARRA GARNICA ALONDRA GUADALUPE</t>
  </si>
  <si>
    <t>MORALES LÓPEZ CESAR ARMANDO</t>
  </si>
  <si>
    <t>Navarrete Montes Angel Ricardo</t>
  </si>
  <si>
    <t>NAVARRO CASTILLO JESUS EMILIANO</t>
  </si>
  <si>
    <t>ORDAZ LOPEZ KAROL MIGUEL</t>
  </si>
  <si>
    <t>PARRA PACHECO KARLA GUADALUPE</t>
  </si>
  <si>
    <t>PÉREZ MEDINA KEVIN ANTONIO</t>
  </si>
  <si>
    <t>QUINTANA RAMÍREZ SARA JOSEFINA</t>
  </si>
  <si>
    <t>Ramirez Becerra José Manuel</t>
  </si>
  <si>
    <t>REMIGIO GARCÍA CRISTIAN FRANCISCO</t>
  </si>
  <si>
    <t>RODRÍGUEZ SAPIEN KARINA DEL ROCÍO</t>
  </si>
  <si>
    <t>Tovar Rivera José Ulises</t>
  </si>
  <si>
    <t>VARGAS ALONZO DANIEL</t>
  </si>
  <si>
    <t>Velázquez Pérez Sherlyn</t>
  </si>
  <si>
    <t>Zavala Gaytan Yareli Geraldine</t>
  </si>
  <si>
    <t>6B</t>
  </si>
  <si>
    <t>GASCA TRONCOSO ANGELA JOSEFINA</t>
  </si>
  <si>
    <t>10A</t>
  </si>
  <si>
    <t>RANGEL LOPEZ ALAN EDUARDO</t>
  </si>
  <si>
    <t>ZARATE FLORES GUADALUPE CAROLINA</t>
  </si>
  <si>
    <t>CORONA MALDONADO JUAN RAFAEL</t>
  </si>
  <si>
    <t>FERNÁNDEZ CASTRO MEREDITH VIENEY</t>
  </si>
  <si>
    <t>GONZÁLEZ GUERRERO DANIELA</t>
  </si>
  <si>
    <t>Gonzalez Rodriguez Vanesa Geraldine</t>
  </si>
  <si>
    <t>Grajeda Vargas Einar Israel</t>
  </si>
  <si>
    <t>Juárez Morquecho Javier Antonio</t>
  </si>
  <si>
    <t>Lopez Mendez Ximena Montserrat</t>
  </si>
  <si>
    <t>MARTÍNEZ CAUDILLO MATTHEW IOSHUA</t>
  </si>
  <si>
    <t>Martínez Ortega Paloma Jimena</t>
  </si>
  <si>
    <t>Mendiola Guevara Alexis Misael</t>
  </si>
  <si>
    <t>Olmedo Santana Diego</t>
  </si>
  <si>
    <t>Pérez de Alba Luis Angel</t>
  </si>
  <si>
    <t>PÉREZ SORIA PAOLA JAZMÍN</t>
  </si>
  <si>
    <t>QUINTERO IBARRA ABRIL ITZEL</t>
  </si>
  <si>
    <t>Ramirez Martínez Brayan</t>
  </si>
  <si>
    <t>RAMOS VITAL ANDRÉS</t>
  </si>
  <si>
    <t>RANGEL HERNÁNDEZ ARIEL ANTONIO</t>
  </si>
  <si>
    <t>REMIGIO GARCIA LEOPOLDO</t>
  </si>
  <si>
    <t>ROMERO AGUILAR CHRISTIAN URIEL</t>
  </si>
  <si>
    <t>Romero Meza Gema Jhoana</t>
  </si>
  <si>
    <t>SÁNCHEZ SÁNCHEZ ARANZA SARAHI</t>
  </si>
  <si>
    <t>SOLIS ORTEGA GABRIELA VANESSA</t>
  </si>
  <si>
    <t>TORRES CASTILLO JOSÉ MARTIN</t>
  </si>
  <si>
    <t>VARGAS RENDON LUZ OFELIA</t>
  </si>
  <si>
    <t>Vazquez Hernandez Andrea Guadalupe</t>
  </si>
  <si>
    <t>IDM</t>
  </si>
  <si>
    <t>4B</t>
  </si>
  <si>
    <t>AGUILAR MALDONADO JOSÉ EMMANUEL</t>
  </si>
  <si>
    <t>AGUILAR MEJÍA MELISSA</t>
  </si>
  <si>
    <t>ALONSO SALAZAR RICARDO ISAI</t>
  </si>
  <si>
    <t>CHÁVEZ HERNÁNDEZ JUAN PABLO</t>
  </si>
  <si>
    <t>GUZMÁN NEGRETE KAMILA YURIDIA</t>
  </si>
  <si>
    <t>HERNÁNDEZ HERNÁNDEZ JORGE ALBERTO</t>
  </si>
  <si>
    <t>LOPEZ CAMPOS FABIAN JOEL</t>
  </si>
  <si>
    <t>MACIEL HERNANDEZ KAREN JOCELYN</t>
  </si>
  <si>
    <t>MARTÍNEZ TAPIA KENNETH WENDOLYNE</t>
  </si>
  <si>
    <t>MEDEL MOSQUEDA PABLO LEONARDO</t>
  </si>
  <si>
    <t>Morales Díaz Alan David</t>
  </si>
  <si>
    <t>MORENO NAVARRO JORGE DANIEL</t>
  </si>
  <si>
    <t>PADILLA FUENTES CARLOS MAURICIO</t>
  </si>
  <si>
    <t>PÉREZ AVALOS LEONARDO DANIEL</t>
  </si>
  <si>
    <t>RODRÍGUEZ GARCIA MAYTEE SARAI</t>
  </si>
  <si>
    <t>RODRÍGUEZ GÓMEZ JOSÉ EZEQUIEL</t>
  </si>
  <si>
    <t>RODRIGUEZ SOTOMAYOR JOSE FRANCISCO</t>
  </si>
  <si>
    <t>ROQUE GARCÍA ALEXA CANDELARIA</t>
  </si>
  <si>
    <t>SALDIVAR CAUDILLO ULISES GUADALUPE</t>
  </si>
  <si>
    <t>SANTIAGO ALCANTAR ARLETTE LIZETH</t>
  </si>
  <si>
    <t>Silva Elias Brandon Jhoan</t>
  </si>
  <si>
    <t>SIMENTAL RODRÍGUEZ DIANA</t>
  </si>
  <si>
    <t>TORRES RODRIGUEZ KEVIN JOSUÉ</t>
  </si>
  <si>
    <t>4C</t>
  </si>
  <si>
    <t>ERNÁNDEZ CASTRO MEREDITH VIENEY</t>
  </si>
  <si>
    <t>GONZALEZ GUERRERO DANIELA</t>
  </si>
  <si>
    <t>GRAJEDA VARGAS EINAR ISRAEL</t>
  </si>
  <si>
    <t>Juarez Morquecho Javier Antonio</t>
  </si>
  <si>
    <t>PEREZ DE ALBA LUIS ANGEL</t>
  </si>
  <si>
    <t>VARGAS RENDÓN LUZ OFELIA</t>
  </si>
  <si>
    <t>TDLI</t>
  </si>
  <si>
    <t>ARREDONDO BELTRÁN GUSTAVO ALFONSO</t>
  </si>
  <si>
    <t>PADILLA LUNA ANGEL ENRIQUE</t>
  </si>
  <si>
    <t>PÉREZ VELÁZQUEZ ERNESTO</t>
  </si>
  <si>
    <t>RAMIREZ MORENO ANGEL GABRIEL</t>
  </si>
  <si>
    <t>SALAZAR INFANTE SUSAN GABRIEL</t>
  </si>
  <si>
    <t>YEBRA SANDOVAL MARIA GUADALUPE</t>
  </si>
  <si>
    <t>FAPI</t>
  </si>
  <si>
    <t>MIX</t>
  </si>
  <si>
    <t>MEC</t>
  </si>
  <si>
    <t>COM</t>
  </si>
  <si>
    <t>CABALLERO MEZA JOAN LISANDRO</t>
  </si>
  <si>
    <t>ROSALES SERNA EVELYN ODALYS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</si>
</sst>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G33" sqref="G33"/>
    </sheetView>
  </sheetViews>
  <sheetFormatPr baseColWidth="10" defaultColWidth="8.88671875" defaultRowHeight="14.4" x14ac:dyDescent="0.3"/>
  <cols>
    <col min="1" max="1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>
        <v>8.1390624999999996</v>
      </c>
      <c r="B2">
        <v>8.0006874999999997</v>
      </c>
      <c r="C2">
        <v>7.9889999999999999</v>
      </c>
      <c r="D2">
        <v>8.6698080065359484</v>
      </c>
      <c r="F2">
        <f>IF(A2&gt;6.999,1,0)</f>
        <v>1</v>
      </c>
      <c r="G2">
        <f>IF(B2&gt;6.999,1,0)</f>
        <v>1</v>
      </c>
      <c r="H2">
        <f t="shared" ref="H2:I17" si="0">IF(C2&gt;6.999,1,0)</f>
        <v>1</v>
      </c>
      <c r="I2">
        <f t="shared" si="0"/>
        <v>1</v>
      </c>
    </row>
    <row r="3" spans="1:9" x14ac:dyDescent="0.3">
      <c r="A3">
        <v>9.5</v>
      </c>
      <c r="B3">
        <v>7.5604270833333338</v>
      </c>
      <c r="C3">
        <v>8.9959999999999987</v>
      </c>
      <c r="D3">
        <v>7.6250551470588235</v>
      </c>
      <c r="F3">
        <f t="shared" ref="F3:F20" si="1">IF(A3&gt;6.999,1,0)</f>
        <v>1</v>
      </c>
      <c r="G3">
        <f t="shared" ref="G3:I26" si="2">IF(B3&gt;6.999,1,0)</f>
        <v>1</v>
      </c>
      <c r="H3">
        <f t="shared" si="0"/>
        <v>1</v>
      </c>
      <c r="I3">
        <f t="shared" si="0"/>
        <v>1</v>
      </c>
    </row>
    <row r="4" spans="1:9" x14ac:dyDescent="0.3">
      <c r="A4">
        <v>8.0240624999999994</v>
      </c>
      <c r="B4">
        <v>9.7318541666666665</v>
      </c>
      <c r="C4">
        <v>7.5106111111111105</v>
      </c>
      <c r="D4">
        <v>8.5317830882352936</v>
      </c>
      <c r="F4">
        <f t="shared" si="1"/>
        <v>1</v>
      </c>
      <c r="G4">
        <f t="shared" si="2"/>
        <v>1</v>
      </c>
      <c r="H4">
        <f t="shared" si="0"/>
        <v>1</v>
      </c>
      <c r="I4">
        <f t="shared" si="0"/>
        <v>1</v>
      </c>
    </row>
    <row r="5" spans="1:9" x14ac:dyDescent="0.3">
      <c r="A5">
        <v>7.293333333333333</v>
      </c>
      <c r="B5">
        <v>7.6376041666666659</v>
      </c>
      <c r="C5">
        <v>9.5030555555555551</v>
      </c>
      <c r="D5">
        <v>8.5580535130718971</v>
      </c>
      <c r="F5">
        <f t="shared" si="1"/>
        <v>1</v>
      </c>
      <c r="G5">
        <f t="shared" si="2"/>
        <v>1</v>
      </c>
      <c r="H5">
        <f t="shared" si="0"/>
        <v>1</v>
      </c>
      <c r="I5">
        <f t="shared" si="0"/>
        <v>1</v>
      </c>
    </row>
    <row r="6" spans="1:9" x14ac:dyDescent="0.3">
      <c r="A6">
        <v>8.5043749999999996</v>
      </c>
      <c r="B6">
        <v>9.7543749999999996</v>
      </c>
      <c r="C6">
        <v>10</v>
      </c>
      <c r="D6">
        <v>8.9935437091503267</v>
      </c>
      <c r="F6">
        <f t="shared" si="1"/>
        <v>1</v>
      </c>
      <c r="G6">
        <f t="shared" si="2"/>
        <v>1</v>
      </c>
      <c r="H6">
        <f t="shared" si="0"/>
        <v>1</v>
      </c>
      <c r="I6">
        <f t="shared" si="0"/>
        <v>1</v>
      </c>
    </row>
    <row r="7" spans="1:9" x14ac:dyDescent="0.3">
      <c r="A7">
        <v>10</v>
      </c>
      <c r="B7">
        <v>5</v>
      </c>
      <c r="C7">
        <v>8.4918750000000003</v>
      </c>
      <c r="D7">
        <v>8.6153696895424829</v>
      </c>
      <c r="F7">
        <f t="shared" si="1"/>
        <v>1</v>
      </c>
      <c r="G7">
        <f t="shared" si="2"/>
        <v>0</v>
      </c>
      <c r="H7">
        <f t="shared" si="0"/>
        <v>1</v>
      </c>
      <c r="I7">
        <f t="shared" si="0"/>
        <v>1</v>
      </c>
    </row>
    <row r="8" spans="1:9" x14ac:dyDescent="0.3">
      <c r="A8">
        <v>8.6904166666666676</v>
      </c>
      <c r="B8">
        <v>7.1204999999999998</v>
      </c>
      <c r="C8">
        <v>9.0337499999999995</v>
      </c>
      <c r="D8">
        <v>8.5343484477124179</v>
      </c>
      <c r="F8">
        <f t="shared" si="1"/>
        <v>1</v>
      </c>
      <c r="G8">
        <f t="shared" si="2"/>
        <v>1</v>
      </c>
      <c r="H8">
        <f t="shared" si="0"/>
        <v>1</v>
      </c>
      <c r="I8">
        <f t="shared" si="0"/>
        <v>1</v>
      </c>
    </row>
    <row r="9" spans="1:9" x14ac:dyDescent="0.3">
      <c r="A9">
        <v>7.2643750000000002</v>
      </c>
      <c r="B9">
        <v>8.3506250000000009</v>
      </c>
      <c r="C9">
        <v>8.0186250000000001</v>
      </c>
      <c r="D9">
        <v>8.6196446078431386</v>
      </c>
      <c r="F9">
        <f t="shared" si="1"/>
        <v>1</v>
      </c>
      <c r="G9">
        <f t="shared" si="2"/>
        <v>1</v>
      </c>
      <c r="H9">
        <f t="shared" si="0"/>
        <v>1</v>
      </c>
      <c r="I9">
        <f t="shared" si="0"/>
        <v>1</v>
      </c>
    </row>
    <row r="10" spans="1:9" x14ac:dyDescent="0.3">
      <c r="A10">
        <v>7.0015625000000004</v>
      </c>
      <c r="B10">
        <v>9.2384374999999999</v>
      </c>
      <c r="C10">
        <v>8.0120000000000005</v>
      </c>
      <c r="D10">
        <v>8.4256102941176465</v>
      </c>
      <c r="F10">
        <f t="shared" si="1"/>
        <v>1</v>
      </c>
      <c r="G10">
        <f t="shared" si="2"/>
        <v>1</v>
      </c>
      <c r="H10">
        <f t="shared" si="0"/>
        <v>1</v>
      </c>
      <c r="I10">
        <f t="shared" si="0"/>
        <v>1</v>
      </c>
    </row>
    <row r="11" spans="1:9" x14ac:dyDescent="0.3">
      <c r="A11">
        <v>7.7625000000000002</v>
      </c>
      <c r="B11">
        <v>10.043125</v>
      </c>
      <c r="C11">
        <v>8.5168055555555551</v>
      </c>
      <c r="D11">
        <v>8.5121339869281041</v>
      </c>
      <c r="F11">
        <f t="shared" si="1"/>
        <v>1</v>
      </c>
      <c r="G11">
        <f t="shared" si="2"/>
        <v>1</v>
      </c>
      <c r="H11">
        <f t="shared" si="0"/>
        <v>1</v>
      </c>
      <c r="I11">
        <f t="shared" si="0"/>
        <v>1</v>
      </c>
    </row>
    <row r="12" spans="1:9" x14ac:dyDescent="0.3">
      <c r="A12">
        <v>7.5040624999999999</v>
      </c>
      <c r="B12">
        <v>10</v>
      </c>
      <c r="C12">
        <v>7.0303749999999994</v>
      </c>
      <c r="D12">
        <v>8.2620792483660122</v>
      </c>
      <c r="F12">
        <f t="shared" si="1"/>
        <v>1</v>
      </c>
      <c r="G12">
        <f t="shared" si="2"/>
        <v>1</v>
      </c>
      <c r="H12">
        <f t="shared" si="0"/>
        <v>1</v>
      </c>
      <c r="I12">
        <f t="shared" si="0"/>
        <v>1</v>
      </c>
    </row>
    <row r="13" spans="1:9" x14ac:dyDescent="0.3">
      <c r="A13">
        <v>7.9510416666666668</v>
      </c>
      <c r="B13">
        <v>9.1890104166666653</v>
      </c>
      <c r="C13">
        <v>9.4781250000000004</v>
      </c>
      <c r="D13">
        <v>8.9719501633986916</v>
      </c>
      <c r="F13">
        <f t="shared" si="1"/>
        <v>1</v>
      </c>
      <c r="G13">
        <f t="shared" si="2"/>
        <v>1</v>
      </c>
      <c r="H13">
        <f t="shared" si="0"/>
        <v>1</v>
      </c>
      <c r="I13">
        <f t="shared" si="0"/>
        <v>1</v>
      </c>
    </row>
    <row r="14" spans="1:9" x14ac:dyDescent="0.3">
      <c r="A14">
        <v>8.5921874999999979</v>
      </c>
      <c r="B14">
        <v>7.1646874999999994</v>
      </c>
      <c r="C14">
        <v>7.251555555555556</v>
      </c>
      <c r="D14">
        <v>8.4978725490196076</v>
      </c>
      <c r="F14">
        <f t="shared" si="1"/>
        <v>1</v>
      </c>
      <c r="G14">
        <f t="shared" si="2"/>
        <v>1</v>
      </c>
      <c r="H14">
        <f t="shared" si="0"/>
        <v>1</v>
      </c>
      <c r="I14">
        <f t="shared" si="0"/>
        <v>1</v>
      </c>
    </row>
    <row r="15" spans="1:9" x14ac:dyDescent="0.3">
      <c r="A15">
        <v>5</v>
      </c>
      <c r="B15">
        <v>7.1044999999999998</v>
      </c>
      <c r="C15">
        <v>9.9906249999999996</v>
      </c>
      <c r="D15">
        <v>8.2186764705882354</v>
      </c>
      <c r="F15">
        <f t="shared" si="1"/>
        <v>0</v>
      </c>
      <c r="G15">
        <f t="shared" si="2"/>
        <v>1</v>
      </c>
      <c r="H15">
        <f t="shared" si="0"/>
        <v>1</v>
      </c>
      <c r="I15">
        <f t="shared" si="0"/>
        <v>1</v>
      </c>
    </row>
    <row r="16" spans="1:9" x14ac:dyDescent="0.3">
      <c r="A16">
        <v>8.5096874999999983</v>
      </c>
      <c r="B16">
        <v>9.880968750000001</v>
      </c>
      <c r="C16">
        <v>7.1377916666666668</v>
      </c>
      <c r="D16">
        <v>8.3806515522875813</v>
      </c>
      <c r="F16">
        <f t="shared" si="1"/>
        <v>1</v>
      </c>
      <c r="G16">
        <f t="shared" si="2"/>
        <v>1</v>
      </c>
      <c r="H16">
        <f t="shared" si="0"/>
        <v>1</v>
      </c>
      <c r="I16">
        <f t="shared" si="0"/>
        <v>1</v>
      </c>
    </row>
    <row r="17" spans="1:9" x14ac:dyDescent="0.3">
      <c r="A17">
        <v>7.1256249999999994</v>
      </c>
      <c r="B17">
        <v>8.7744270833333324</v>
      </c>
      <c r="C17">
        <v>7.2276249999999997</v>
      </c>
      <c r="D17">
        <v>8.3568811274509809</v>
      </c>
      <c r="F17">
        <f t="shared" si="1"/>
        <v>1</v>
      </c>
      <c r="G17">
        <f t="shared" si="2"/>
        <v>1</v>
      </c>
      <c r="H17">
        <f t="shared" si="0"/>
        <v>1</v>
      </c>
      <c r="I17">
        <f t="shared" si="0"/>
        <v>1</v>
      </c>
    </row>
    <row r="18" spans="1:9" x14ac:dyDescent="0.3">
      <c r="A18">
        <v>7</v>
      </c>
      <c r="B18">
        <v>9.9006249999999998</v>
      </c>
      <c r="C18">
        <v>7.236736111111111</v>
      </c>
      <c r="D18">
        <v>8.6933619281045758</v>
      </c>
      <c r="F18">
        <f t="shared" si="1"/>
        <v>1</v>
      </c>
      <c r="G18">
        <f t="shared" si="2"/>
        <v>1</v>
      </c>
      <c r="H18">
        <f t="shared" si="2"/>
        <v>1</v>
      </c>
      <c r="I18">
        <f t="shared" si="2"/>
        <v>1</v>
      </c>
    </row>
    <row r="19" spans="1:9" x14ac:dyDescent="0.3">
      <c r="A19">
        <v>7.3068749999999998</v>
      </c>
      <c r="B19">
        <v>9.014291666666665</v>
      </c>
      <c r="C19">
        <v>7.5115555555555558</v>
      </c>
      <c r="D19">
        <v>8.6445322712418307</v>
      </c>
      <c r="F19">
        <f t="shared" si="1"/>
        <v>1</v>
      </c>
      <c r="G19">
        <f t="shared" si="2"/>
        <v>1</v>
      </c>
      <c r="H19">
        <f t="shared" si="2"/>
        <v>1</v>
      </c>
      <c r="I19">
        <f t="shared" si="2"/>
        <v>1</v>
      </c>
    </row>
    <row r="20" spans="1:9" x14ac:dyDescent="0.3">
      <c r="A20">
        <v>8.0175000000000001</v>
      </c>
      <c r="B20">
        <v>7.7783854166666666</v>
      </c>
      <c r="C20">
        <v>5</v>
      </c>
      <c r="D20">
        <v>8.6170976307189555</v>
      </c>
      <c r="F20">
        <f t="shared" si="1"/>
        <v>1</v>
      </c>
      <c r="G20">
        <f t="shared" si="2"/>
        <v>1</v>
      </c>
      <c r="H20">
        <f t="shared" si="2"/>
        <v>0</v>
      </c>
      <c r="I20">
        <f t="shared" si="2"/>
        <v>1</v>
      </c>
    </row>
    <row r="21" spans="1:9" x14ac:dyDescent="0.3">
      <c r="B21">
        <v>8.2373437500000009</v>
      </c>
      <c r="C21">
        <v>7.2711249999999996</v>
      </c>
      <c r="D21">
        <v>8.0126858660130722</v>
      </c>
      <c r="G21">
        <f t="shared" si="2"/>
        <v>1</v>
      </c>
      <c r="H21">
        <f t="shared" si="2"/>
        <v>1</v>
      </c>
      <c r="I21">
        <f t="shared" si="2"/>
        <v>1</v>
      </c>
    </row>
    <row r="22" spans="1:9" x14ac:dyDescent="0.3">
      <c r="B22">
        <v>10</v>
      </c>
      <c r="C22">
        <v>8.7738055555555547</v>
      </c>
      <c r="D22">
        <v>8.5791441993464055</v>
      </c>
      <c r="G22">
        <f t="shared" si="2"/>
        <v>1</v>
      </c>
      <c r="H22">
        <f t="shared" si="2"/>
        <v>1</v>
      </c>
      <c r="I22">
        <f t="shared" si="2"/>
        <v>1</v>
      </c>
    </row>
    <row r="23" spans="1:9" x14ac:dyDescent="0.3">
      <c r="B23">
        <v>9.3215624999999989</v>
      </c>
      <c r="C23">
        <v>7.7319166666666668</v>
      </c>
      <c r="D23">
        <v>8.0377369281045752</v>
      </c>
      <c r="G23">
        <f t="shared" si="2"/>
        <v>1</v>
      </c>
      <c r="H23">
        <f t="shared" si="2"/>
        <v>1</v>
      </c>
      <c r="I23">
        <f t="shared" si="2"/>
        <v>1</v>
      </c>
    </row>
    <row r="24" spans="1:9" x14ac:dyDescent="0.3">
      <c r="B24">
        <v>7.7528749999999995</v>
      </c>
      <c r="C24">
        <v>5</v>
      </c>
      <c r="D24">
        <v>7.9813950163398699</v>
      </c>
      <c r="G24">
        <f t="shared" si="2"/>
        <v>1</v>
      </c>
      <c r="H24">
        <f t="shared" si="2"/>
        <v>0</v>
      </c>
      <c r="I24">
        <f t="shared" si="2"/>
        <v>1</v>
      </c>
    </row>
    <row r="25" spans="1:9" x14ac:dyDescent="0.3">
      <c r="B25">
        <v>8.9968749999999993</v>
      </c>
      <c r="C25">
        <v>8.2231249999999996</v>
      </c>
      <c r="D25">
        <v>7.7671045751633994</v>
      </c>
      <c r="G25">
        <f t="shared" si="2"/>
        <v>1</v>
      </c>
      <c r="H25">
        <f t="shared" si="2"/>
        <v>1</v>
      </c>
      <c r="I25">
        <f t="shared" si="2"/>
        <v>1</v>
      </c>
    </row>
    <row r="26" spans="1:9" x14ac:dyDescent="0.3">
      <c r="B26">
        <v>8.1722604166666653</v>
      </c>
      <c r="C26">
        <v>8.2461249999999993</v>
      </c>
      <c r="G26">
        <f t="shared" si="2"/>
        <v>1</v>
      </c>
      <c r="H26">
        <f t="shared" si="2"/>
        <v>1</v>
      </c>
    </row>
    <row r="27" spans="1:9" x14ac:dyDescent="0.3">
      <c r="C27">
        <v>5</v>
      </c>
      <c r="H27">
        <f t="shared" ref="H27" si="3">IF(C27&gt;6.999,1,0)</f>
        <v>0</v>
      </c>
    </row>
    <row r="28" spans="1:9" x14ac:dyDescent="0.3">
      <c r="A28">
        <f>AVERAGE(A2:A20)</f>
        <v>7.8519298245614033</v>
      </c>
      <c r="B28">
        <f>AVERAGE(B2:B26)</f>
        <v>8.5490179166666653</v>
      </c>
      <c r="C28">
        <f>AVERAGE(C2:C27)</f>
        <v>7.8531618589743593</v>
      </c>
      <c r="D28">
        <f>AVERAGE(D2:D25)</f>
        <v>8.4211050006808268</v>
      </c>
      <c r="F28">
        <f>SUM(F2:F20)</f>
        <v>18</v>
      </c>
      <c r="G28">
        <f>SUM(G2:G26)</f>
        <v>24</v>
      </c>
      <c r="H28">
        <f>SUM(H2:H27)</f>
        <v>23</v>
      </c>
      <c r="I28">
        <f>SUM(I2:I25)</f>
        <v>24</v>
      </c>
    </row>
    <row r="30" spans="1:9" x14ac:dyDescent="0.3">
      <c r="A30">
        <f>COUNT(A2:A20)</f>
        <v>19</v>
      </c>
      <c r="B30">
        <f>COUNT(B2:B26)</f>
        <v>25</v>
      </c>
      <c r="C30">
        <f>COUNT(C2:C27)</f>
        <v>26</v>
      </c>
      <c r="D30">
        <f>COUNT(D2:D25)</f>
        <v>24</v>
      </c>
    </row>
    <row r="32" spans="1:9" x14ac:dyDescent="0.3">
      <c r="D32" t="s">
        <v>4</v>
      </c>
      <c r="E32">
        <f>A30+B30+C30+D30</f>
        <v>94</v>
      </c>
      <c r="G32">
        <f>100*E33/E32</f>
        <v>94.680851063829792</v>
      </c>
    </row>
    <row r="33" spans="4:5" x14ac:dyDescent="0.3">
      <c r="D33" t="s">
        <v>5</v>
      </c>
      <c r="E33">
        <f>SUM(F28:I28)</f>
        <v>89</v>
      </c>
    </row>
    <row r="34" spans="4:5" x14ac:dyDescent="0.3">
      <c r="D34" t="s">
        <v>6</v>
      </c>
      <c r="E34">
        <f>E32-E33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9E44-AEE5-47DD-AEAF-3FD038BAF605}">
  <dimension ref="A1:A5"/>
  <sheetViews>
    <sheetView workbookViewId="0">
      <selection activeCell="A6" sqref="A6"/>
    </sheetView>
  </sheetViews>
  <sheetFormatPr baseColWidth="10" defaultRowHeight="14.4" x14ac:dyDescent="0.3"/>
  <sheetData>
    <row r="1" spans="1:1" x14ac:dyDescent="0.3">
      <c r="A1" t="s">
        <v>7</v>
      </c>
    </row>
    <row r="2" spans="1:1" x14ac:dyDescent="0.3">
      <c r="A2">
        <v>10</v>
      </c>
    </row>
    <row r="3" spans="1:1" x14ac:dyDescent="0.3">
      <c r="A3">
        <v>10</v>
      </c>
    </row>
    <row r="4" spans="1:1" x14ac:dyDescent="0.3">
      <c r="A4">
        <v>10</v>
      </c>
    </row>
    <row r="5" spans="1:1" x14ac:dyDescent="0.3">
      <c r="A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370-0C81-4C6C-ABC9-5303ECBBC74D}">
  <dimension ref="A1:A2"/>
  <sheetViews>
    <sheetView workbookViewId="0">
      <selection activeCell="A3" sqref="A3"/>
    </sheetView>
  </sheetViews>
  <sheetFormatPr baseColWidth="10" defaultRowHeight="14.4" x14ac:dyDescent="0.3"/>
  <sheetData>
    <row r="1" spans="1:1" x14ac:dyDescent="0.3">
      <c r="A1" t="s">
        <v>7</v>
      </c>
    </row>
    <row r="2" spans="1:1" x14ac:dyDescent="0.3">
      <c r="A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428D-BE1B-450E-A55E-F7E0F5D5F534}">
  <dimension ref="A1:O25"/>
  <sheetViews>
    <sheetView workbookViewId="0">
      <selection activeCell="M2" sqref="M2:M3"/>
    </sheetView>
  </sheetViews>
  <sheetFormatPr baseColWidth="10" defaultRowHeight="14.4" x14ac:dyDescent="0.3"/>
  <sheetData>
    <row r="1" spans="1:15" x14ac:dyDescent="0.3">
      <c r="A1" t="s">
        <v>20</v>
      </c>
    </row>
    <row r="2" spans="1:15" x14ac:dyDescent="0.3">
      <c r="A2">
        <v>6.5</v>
      </c>
      <c r="E2">
        <v>1</v>
      </c>
      <c r="F2">
        <v>20030383</v>
      </c>
      <c r="G2" t="s">
        <v>21</v>
      </c>
      <c r="H2" t="s">
        <v>22</v>
      </c>
      <c r="I2" t="s">
        <v>23</v>
      </c>
      <c r="J2">
        <v>9.1999999999999993</v>
      </c>
      <c r="K2">
        <v>10</v>
      </c>
      <c r="M2">
        <v>9.6</v>
      </c>
    </row>
    <row r="3" spans="1:15" x14ac:dyDescent="0.3">
      <c r="A3">
        <v>8.8000000000000007</v>
      </c>
      <c r="E3">
        <v>2</v>
      </c>
      <c r="F3">
        <v>20030113</v>
      </c>
      <c r="G3" t="s">
        <v>24</v>
      </c>
      <c r="H3" t="s">
        <v>25</v>
      </c>
      <c r="I3" t="s">
        <v>26</v>
      </c>
      <c r="J3">
        <v>9</v>
      </c>
      <c r="K3">
        <v>9.5</v>
      </c>
      <c r="M3">
        <v>9.1999999999999993</v>
      </c>
    </row>
    <row r="4" spans="1:15" x14ac:dyDescent="0.3">
      <c r="A4">
        <v>7.2</v>
      </c>
      <c r="E4">
        <v>3</v>
      </c>
      <c r="F4">
        <v>19031217</v>
      </c>
      <c r="G4" t="s">
        <v>27</v>
      </c>
      <c r="H4" t="s">
        <v>16</v>
      </c>
      <c r="I4" t="s">
        <v>28</v>
      </c>
      <c r="J4" t="s">
        <v>29</v>
      </c>
      <c r="K4">
        <v>6.5</v>
      </c>
      <c r="L4">
        <v>5</v>
      </c>
      <c r="M4">
        <v>5.8</v>
      </c>
      <c r="N4">
        <v>0</v>
      </c>
      <c r="O4">
        <v>7</v>
      </c>
    </row>
    <row r="5" spans="1:15" x14ac:dyDescent="0.3">
      <c r="A5">
        <v>9.8000000000000007</v>
      </c>
      <c r="E5">
        <v>4</v>
      </c>
      <c r="F5">
        <v>20030089</v>
      </c>
      <c r="G5" t="s">
        <v>30</v>
      </c>
      <c r="H5" t="s">
        <v>31</v>
      </c>
      <c r="I5" t="s">
        <v>32</v>
      </c>
      <c r="J5" t="s">
        <v>33</v>
      </c>
      <c r="K5">
        <v>9</v>
      </c>
      <c r="L5">
        <v>8.5</v>
      </c>
      <c r="M5">
        <v>8.8000000000000007</v>
      </c>
    </row>
    <row r="6" spans="1:15" x14ac:dyDescent="0.3">
      <c r="A6">
        <v>8.5</v>
      </c>
      <c r="E6">
        <v>5</v>
      </c>
      <c r="F6">
        <v>20030145</v>
      </c>
      <c r="G6" t="s">
        <v>34</v>
      </c>
      <c r="H6" t="s">
        <v>35</v>
      </c>
      <c r="I6" t="s">
        <v>36</v>
      </c>
      <c r="J6" t="s">
        <v>37</v>
      </c>
      <c r="K6">
        <v>9.3000000000000007</v>
      </c>
      <c r="L6">
        <v>9.1999999999999993</v>
      </c>
      <c r="M6">
        <v>9.1999999999999993</v>
      </c>
    </row>
    <row r="7" spans="1:15" x14ac:dyDescent="0.3">
      <c r="A7">
        <v>7</v>
      </c>
      <c r="E7">
        <v>6</v>
      </c>
      <c r="F7">
        <v>20030097</v>
      </c>
      <c r="G7" t="s">
        <v>38</v>
      </c>
      <c r="H7" t="s">
        <v>18</v>
      </c>
      <c r="I7" t="s">
        <v>39</v>
      </c>
      <c r="J7" t="s">
        <v>9</v>
      </c>
      <c r="K7" t="s">
        <v>40</v>
      </c>
      <c r="L7">
        <v>9.6999999999999993</v>
      </c>
      <c r="M7">
        <v>10</v>
      </c>
      <c r="N7">
        <v>9.8000000000000007</v>
      </c>
    </row>
    <row r="8" spans="1:15" x14ac:dyDescent="0.3">
      <c r="A8">
        <v>8.9</v>
      </c>
      <c r="E8">
        <v>7</v>
      </c>
      <c r="F8">
        <v>20030124</v>
      </c>
      <c r="G8" t="s">
        <v>41</v>
      </c>
      <c r="H8" t="s">
        <v>42</v>
      </c>
      <c r="I8" t="s">
        <v>43</v>
      </c>
      <c r="J8" t="s">
        <v>44</v>
      </c>
      <c r="K8">
        <v>8.1</v>
      </c>
      <c r="L8">
        <v>8.5</v>
      </c>
      <c r="M8">
        <v>8.3000000000000007</v>
      </c>
    </row>
    <row r="9" spans="1:15" x14ac:dyDescent="0.3">
      <c r="A9">
        <v>8.5</v>
      </c>
      <c r="E9">
        <v>8</v>
      </c>
      <c r="F9">
        <v>19031275</v>
      </c>
      <c r="G9" t="s">
        <v>13</v>
      </c>
      <c r="H9" t="s">
        <v>45</v>
      </c>
      <c r="I9" t="s">
        <v>46</v>
      </c>
      <c r="J9" t="s">
        <v>47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8.9</v>
      </c>
      <c r="E10">
        <v>9</v>
      </c>
      <c r="F10">
        <v>20030093</v>
      </c>
      <c r="G10" t="s">
        <v>13</v>
      </c>
      <c r="H10" t="s">
        <v>48</v>
      </c>
      <c r="I10" t="s">
        <v>49</v>
      </c>
      <c r="J10" t="s">
        <v>50</v>
      </c>
      <c r="K10">
        <v>9.8000000000000007</v>
      </c>
      <c r="L10">
        <v>10</v>
      </c>
      <c r="M10">
        <v>9.9</v>
      </c>
    </row>
    <row r="11" spans="1:15" x14ac:dyDescent="0.3">
      <c r="A11">
        <v>7</v>
      </c>
      <c r="E11">
        <v>10</v>
      </c>
      <c r="F11">
        <v>20030072</v>
      </c>
      <c r="G11" t="s">
        <v>51</v>
      </c>
      <c r="H11" t="s">
        <v>52</v>
      </c>
      <c r="I11" t="s">
        <v>11</v>
      </c>
      <c r="J11" t="s">
        <v>15</v>
      </c>
      <c r="K11">
        <v>8.4</v>
      </c>
      <c r="L11">
        <v>9.5</v>
      </c>
      <c r="M11">
        <v>8.9</v>
      </c>
    </row>
    <row r="12" spans="1:15" x14ac:dyDescent="0.3">
      <c r="A12">
        <v>9.5</v>
      </c>
      <c r="E12">
        <v>11</v>
      </c>
      <c r="F12">
        <v>20030082</v>
      </c>
      <c r="G12" t="s">
        <v>53</v>
      </c>
      <c r="H12" t="s">
        <v>54</v>
      </c>
      <c r="I12" t="s">
        <v>11</v>
      </c>
      <c r="J12">
        <v>7.8</v>
      </c>
      <c r="K12">
        <v>9.6999999999999993</v>
      </c>
      <c r="L12">
        <v>8.8000000000000007</v>
      </c>
    </row>
    <row r="13" spans="1:15" x14ac:dyDescent="0.3">
      <c r="A13">
        <v>8.3000000000000007</v>
      </c>
      <c r="E13">
        <v>12</v>
      </c>
      <c r="F13">
        <v>20030130</v>
      </c>
      <c r="G13" t="s">
        <v>19</v>
      </c>
      <c r="H13" t="s">
        <v>55</v>
      </c>
      <c r="I13" t="s">
        <v>56</v>
      </c>
      <c r="J13" t="s">
        <v>15</v>
      </c>
      <c r="K13">
        <v>8.4</v>
      </c>
      <c r="L13">
        <v>9.5</v>
      </c>
      <c r="M13">
        <v>8.9</v>
      </c>
    </row>
    <row r="14" spans="1:15" x14ac:dyDescent="0.3">
      <c r="A14">
        <v>8.8000000000000007</v>
      </c>
      <c r="E14">
        <v>13</v>
      </c>
      <c r="F14">
        <v>19031203</v>
      </c>
      <c r="G14" t="s">
        <v>57</v>
      </c>
      <c r="H14" t="s">
        <v>58</v>
      </c>
      <c r="I14" t="s">
        <v>59</v>
      </c>
      <c r="J14" t="s">
        <v>14</v>
      </c>
      <c r="K14">
        <v>9.8000000000000007</v>
      </c>
      <c r="L14">
        <v>9.5</v>
      </c>
      <c r="M14">
        <v>9.6999999999999993</v>
      </c>
    </row>
    <row r="15" spans="1:15" x14ac:dyDescent="0.3">
      <c r="A15">
        <v>7.8</v>
      </c>
      <c r="E15">
        <v>14</v>
      </c>
      <c r="F15">
        <v>20030392</v>
      </c>
      <c r="G15" t="s">
        <v>60</v>
      </c>
      <c r="H15" t="s">
        <v>52</v>
      </c>
      <c r="I15" t="s">
        <v>61</v>
      </c>
      <c r="J15">
        <v>9.4</v>
      </c>
      <c r="K15">
        <v>9.6999999999999993</v>
      </c>
      <c r="L15">
        <v>9.6</v>
      </c>
    </row>
    <row r="16" spans="1:15" x14ac:dyDescent="0.3">
      <c r="A16">
        <v>8.6</v>
      </c>
      <c r="E16">
        <v>15</v>
      </c>
      <c r="F16">
        <v>18030907</v>
      </c>
      <c r="G16" t="s">
        <v>62</v>
      </c>
      <c r="H16" t="s">
        <v>63</v>
      </c>
      <c r="I16" t="s">
        <v>64</v>
      </c>
      <c r="J16" t="s">
        <v>65</v>
      </c>
      <c r="K16">
        <v>5</v>
      </c>
      <c r="L16">
        <v>5</v>
      </c>
      <c r="M16">
        <v>5</v>
      </c>
      <c r="N16">
        <v>0</v>
      </c>
      <c r="O16">
        <v>0</v>
      </c>
    </row>
    <row r="17" spans="1:15" x14ac:dyDescent="0.3">
      <c r="A17">
        <v>7</v>
      </c>
      <c r="E17">
        <v>16</v>
      </c>
      <c r="F17">
        <v>20030106</v>
      </c>
      <c r="G17" t="s">
        <v>66</v>
      </c>
      <c r="H17" t="s">
        <v>67</v>
      </c>
      <c r="I17" t="s">
        <v>68</v>
      </c>
      <c r="J17">
        <v>7.1</v>
      </c>
      <c r="K17">
        <v>5.4</v>
      </c>
      <c r="L17">
        <v>6.2</v>
      </c>
      <c r="M17">
        <v>5</v>
      </c>
      <c r="N17">
        <v>7</v>
      </c>
    </row>
    <row r="18" spans="1:15" x14ac:dyDescent="0.3">
      <c r="A18">
        <v>8.1999999999999993</v>
      </c>
      <c r="E18">
        <v>17</v>
      </c>
      <c r="F18">
        <v>20030150</v>
      </c>
      <c r="G18" t="s">
        <v>69</v>
      </c>
      <c r="H18" t="s">
        <v>70</v>
      </c>
      <c r="I18" t="s">
        <v>71</v>
      </c>
      <c r="J18" t="s">
        <v>15</v>
      </c>
      <c r="K18">
        <v>7.8</v>
      </c>
      <c r="L18">
        <v>9</v>
      </c>
      <c r="M18">
        <v>8.4</v>
      </c>
    </row>
    <row r="19" spans="1:15" x14ac:dyDescent="0.3">
      <c r="E19">
        <v>18</v>
      </c>
      <c r="F19">
        <v>20030090</v>
      </c>
      <c r="G19" t="s">
        <v>17</v>
      </c>
      <c r="H19" t="s">
        <v>52</v>
      </c>
      <c r="I19" t="s">
        <v>63</v>
      </c>
      <c r="J19" t="s">
        <v>72</v>
      </c>
      <c r="K19" t="s">
        <v>12</v>
      </c>
      <c r="L19" t="s">
        <v>8</v>
      </c>
      <c r="M19">
        <v>9</v>
      </c>
      <c r="N19">
        <v>9.5</v>
      </c>
      <c r="O19">
        <v>9.1999999999999993</v>
      </c>
    </row>
    <row r="20" spans="1:15" x14ac:dyDescent="0.3">
      <c r="E20">
        <v>19</v>
      </c>
      <c r="F20">
        <v>20030071</v>
      </c>
      <c r="G20" t="s">
        <v>73</v>
      </c>
      <c r="H20" t="s">
        <v>74</v>
      </c>
      <c r="I20" t="s">
        <v>75</v>
      </c>
      <c r="J20">
        <v>9</v>
      </c>
      <c r="K20">
        <v>10</v>
      </c>
      <c r="L20">
        <v>9.5</v>
      </c>
    </row>
    <row r="21" spans="1:15" x14ac:dyDescent="0.3">
      <c r="E21">
        <v>20</v>
      </c>
      <c r="F21">
        <v>20030138</v>
      </c>
      <c r="G21" t="s">
        <v>10</v>
      </c>
      <c r="H21" t="s">
        <v>10</v>
      </c>
      <c r="I21" t="s">
        <v>76</v>
      </c>
      <c r="J21" t="s">
        <v>77</v>
      </c>
      <c r="K21">
        <v>9.3000000000000007</v>
      </c>
      <c r="L21">
        <v>10</v>
      </c>
      <c r="M21">
        <v>9.6999999999999993</v>
      </c>
    </row>
    <row r="22" spans="1:15" x14ac:dyDescent="0.3">
      <c r="E22">
        <v>21</v>
      </c>
      <c r="F22">
        <v>20030393</v>
      </c>
      <c r="G22" t="s">
        <v>78</v>
      </c>
      <c r="H22" t="s">
        <v>13</v>
      </c>
      <c r="I22" t="s">
        <v>8</v>
      </c>
      <c r="J22" t="s">
        <v>79</v>
      </c>
      <c r="K22">
        <v>7.2</v>
      </c>
      <c r="L22">
        <v>8</v>
      </c>
      <c r="M22">
        <v>7.6</v>
      </c>
    </row>
    <row r="23" spans="1:15" x14ac:dyDescent="0.3">
      <c r="E23">
        <v>22</v>
      </c>
      <c r="F23">
        <v>20030120</v>
      </c>
      <c r="G23" t="s">
        <v>80</v>
      </c>
      <c r="H23" t="s">
        <v>81</v>
      </c>
      <c r="I23" t="s">
        <v>82</v>
      </c>
      <c r="J23" t="s">
        <v>83</v>
      </c>
      <c r="K23">
        <v>9.1</v>
      </c>
      <c r="L23">
        <v>10</v>
      </c>
      <c r="M23">
        <v>9.6</v>
      </c>
    </row>
    <row r="24" spans="1:15" x14ac:dyDescent="0.3">
      <c r="E24">
        <v>23</v>
      </c>
      <c r="F24">
        <v>19031440</v>
      </c>
      <c r="G24" t="s">
        <v>16</v>
      </c>
      <c r="H24" t="s">
        <v>73</v>
      </c>
      <c r="I24" t="s">
        <v>84</v>
      </c>
      <c r="J24">
        <v>5</v>
      </c>
      <c r="K24">
        <v>5</v>
      </c>
      <c r="L24">
        <v>5</v>
      </c>
      <c r="M24">
        <v>0</v>
      </c>
    </row>
    <row r="25" spans="1:15" x14ac:dyDescent="0.3">
      <c r="E25">
        <v>24</v>
      </c>
      <c r="F25">
        <v>20030386</v>
      </c>
      <c r="G25" t="s">
        <v>85</v>
      </c>
      <c r="H25" t="s">
        <v>30</v>
      </c>
      <c r="I25" t="s">
        <v>86</v>
      </c>
      <c r="J25">
        <v>7.3</v>
      </c>
      <c r="K25">
        <v>8.6999999999999993</v>
      </c>
      <c r="L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9A3F-231E-4CD7-A4A3-9C56EFCE2BC9}">
  <dimension ref="A1:G137"/>
  <sheetViews>
    <sheetView topLeftCell="A115" workbookViewId="0">
      <selection activeCell="F143" sqref="F143"/>
    </sheetView>
  </sheetViews>
  <sheetFormatPr baseColWidth="10" defaultRowHeight="14.4" x14ac:dyDescent="0.3"/>
  <cols>
    <col min="1" max="1" width="11.5546875" style="1"/>
    <col min="2" max="2" width="44.21875" bestFit="1" customWidth="1"/>
    <col min="3" max="4" width="11.5546875" style="3"/>
    <col min="6" max="6" width="12.6640625" bestFit="1" customWidth="1"/>
  </cols>
  <sheetData>
    <row r="1" spans="1:7" s="2" customFormat="1" x14ac:dyDescent="0.3">
      <c r="A1" s="2" t="s">
        <v>87</v>
      </c>
      <c r="B1" s="2" t="s">
        <v>88</v>
      </c>
      <c r="C1" s="2" t="s">
        <v>89</v>
      </c>
      <c r="D1" s="2" t="s">
        <v>120</v>
      </c>
      <c r="E1" s="2" t="s">
        <v>91</v>
      </c>
      <c r="F1" s="2" t="s">
        <v>90</v>
      </c>
      <c r="G1" s="2" t="s">
        <v>150</v>
      </c>
    </row>
    <row r="2" spans="1:7" x14ac:dyDescent="0.3">
      <c r="A2" s="1">
        <v>23010404</v>
      </c>
      <c r="B2" t="s">
        <v>92</v>
      </c>
      <c r="C2" s="3" t="s">
        <v>117</v>
      </c>
      <c r="D2" s="1" t="s">
        <v>121</v>
      </c>
      <c r="E2" s="1" t="s">
        <v>119</v>
      </c>
      <c r="F2" s="1">
        <v>7.4725000000000001</v>
      </c>
      <c r="G2" s="1">
        <v>0</v>
      </c>
    </row>
    <row r="3" spans="1:7" x14ac:dyDescent="0.3">
      <c r="A3" s="1">
        <v>23011827</v>
      </c>
      <c r="B3" t="s">
        <v>93</v>
      </c>
      <c r="C3" s="3" t="s">
        <v>118</v>
      </c>
      <c r="D3" s="1" t="s">
        <v>121</v>
      </c>
      <c r="E3" s="1" t="s">
        <v>119</v>
      </c>
      <c r="F3" s="1">
        <v>8.4974999999999987</v>
      </c>
      <c r="G3" s="1">
        <v>0</v>
      </c>
    </row>
    <row r="4" spans="1:7" x14ac:dyDescent="0.3">
      <c r="A4" s="1">
        <v>23011892</v>
      </c>
      <c r="B4" t="s">
        <v>94</v>
      </c>
      <c r="C4" s="3" t="s">
        <v>118</v>
      </c>
      <c r="D4" s="1" t="s">
        <v>121</v>
      </c>
      <c r="E4" s="1" t="s">
        <v>119</v>
      </c>
      <c r="F4" s="1">
        <v>8.0350000000000001</v>
      </c>
      <c r="G4" s="1">
        <v>0</v>
      </c>
    </row>
    <row r="5" spans="1:7" x14ac:dyDescent="0.3">
      <c r="A5" s="1">
        <v>23011781</v>
      </c>
      <c r="B5" t="s">
        <v>95</v>
      </c>
      <c r="C5" s="3" t="s">
        <v>117</v>
      </c>
      <c r="D5" s="1" t="s">
        <v>121</v>
      </c>
      <c r="E5" s="1" t="s">
        <v>119</v>
      </c>
      <c r="F5" s="1">
        <v>8.5287500000000005</v>
      </c>
      <c r="G5" s="1">
        <v>0</v>
      </c>
    </row>
    <row r="6" spans="1:7" x14ac:dyDescent="0.3">
      <c r="A6" s="1">
        <v>23011885</v>
      </c>
      <c r="B6" t="s">
        <v>96</v>
      </c>
      <c r="C6" s="3" t="s">
        <v>117</v>
      </c>
      <c r="D6" s="1" t="s">
        <v>121</v>
      </c>
      <c r="E6" s="1" t="s">
        <v>119</v>
      </c>
      <c r="F6" s="1">
        <v>7.9662499999999996</v>
      </c>
      <c r="G6" s="1">
        <v>0</v>
      </c>
    </row>
    <row r="7" spans="1:7" x14ac:dyDescent="0.3">
      <c r="A7" s="1">
        <v>23011828</v>
      </c>
      <c r="B7" t="s">
        <v>97</v>
      </c>
      <c r="C7" s="3" t="s">
        <v>118</v>
      </c>
      <c r="D7" s="1" t="s">
        <v>121</v>
      </c>
      <c r="E7" s="1" t="s">
        <v>119</v>
      </c>
      <c r="F7" s="1">
        <v>7.9662499999999996</v>
      </c>
      <c r="G7" s="1">
        <v>0</v>
      </c>
    </row>
    <row r="8" spans="1:7" x14ac:dyDescent="0.3">
      <c r="A8" s="1">
        <v>23011529</v>
      </c>
      <c r="B8" t="s">
        <v>98</v>
      </c>
      <c r="C8" s="3" t="s">
        <v>117</v>
      </c>
      <c r="D8" s="1" t="s">
        <v>121</v>
      </c>
      <c r="E8" s="1" t="s">
        <v>119</v>
      </c>
      <c r="F8" s="1">
        <v>7.0145833333333334</v>
      </c>
      <c r="G8" s="1">
        <v>1</v>
      </c>
    </row>
    <row r="9" spans="1:7" x14ac:dyDescent="0.3">
      <c r="A9" s="1">
        <v>23011795</v>
      </c>
      <c r="B9" t="s">
        <v>99</v>
      </c>
      <c r="C9" s="3" t="s">
        <v>117</v>
      </c>
      <c r="D9" s="1" t="s">
        <v>121</v>
      </c>
      <c r="E9" s="1" t="s">
        <v>119</v>
      </c>
      <c r="F9" s="1">
        <v>10.078749999999999</v>
      </c>
      <c r="G9" s="1">
        <v>0</v>
      </c>
    </row>
    <row r="10" spans="1:7" x14ac:dyDescent="0.3">
      <c r="A10" s="1">
        <v>23011839</v>
      </c>
      <c r="B10" t="s">
        <v>100</v>
      </c>
      <c r="C10" s="3" t="s">
        <v>118</v>
      </c>
      <c r="D10" s="1" t="s">
        <v>121</v>
      </c>
      <c r="E10" s="1" t="s">
        <v>119</v>
      </c>
      <c r="F10" s="1">
        <v>8.4600000000000009</v>
      </c>
      <c r="G10" s="1">
        <v>0</v>
      </c>
    </row>
    <row r="11" spans="1:7" x14ac:dyDescent="0.3">
      <c r="A11" s="1">
        <v>23011967</v>
      </c>
      <c r="B11" t="s">
        <v>101</v>
      </c>
      <c r="C11" s="3" t="s">
        <v>117</v>
      </c>
      <c r="D11" s="1" t="s">
        <v>121</v>
      </c>
      <c r="E11" s="1" t="s">
        <v>119</v>
      </c>
      <c r="F11" s="1">
        <v>7.9974999999999996</v>
      </c>
      <c r="G11" s="1">
        <v>0</v>
      </c>
    </row>
    <row r="12" spans="1:7" x14ac:dyDescent="0.3">
      <c r="A12" s="1">
        <v>23011894</v>
      </c>
      <c r="B12" t="s">
        <v>102</v>
      </c>
      <c r="C12" s="3" t="s">
        <v>118</v>
      </c>
      <c r="D12" s="1" t="s">
        <v>121</v>
      </c>
      <c r="E12" s="1" t="s">
        <v>119</v>
      </c>
      <c r="F12" s="1">
        <v>8.9620833333333341</v>
      </c>
      <c r="G12" s="1">
        <v>1</v>
      </c>
    </row>
    <row r="13" spans="1:7" x14ac:dyDescent="0.3">
      <c r="A13" s="1">
        <v>22010895</v>
      </c>
      <c r="B13" t="s">
        <v>103</v>
      </c>
      <c r="C13" s="3" t="s">
        <v>117</v>
      </c>
      <c r="D13" s="1" t="s">
        <v>121</v>
      </c>
      <c r="E13" s="1" t="s">
        <v>119</v>
      </c>
      <c r="F13" s="1">
        <v>6.5308333333333337</v>
      </c>
      <c r="G13" s="1">
        <v>1</v>
      </c>
    </row>
    <row r="14" spans="1:7" x14ac:dyDescent="0.3">
      <c r="A14" s="1">
        <v>23032663</v>
      </c>
      <c r="B14" t="s">
        <v>104</v>
      </c>
      <c r="C14" s="3" t="s">
        <v>117</v>
      </c>
      <c r="D14" s="1" t="s">
        <v>121</v>
      </c>
      <c r="E14" s="1" t="s">
        <v>119</v>
      </c>
      <c r="F14" s="1">
        <v>8.956666666666667</v>
      </c>
      <c r="G14" s="1">
        <v>2</v>
      </c>
    </row>
    <row r="15" spans="1:7" x14ac:dyDescent="0.3">
      <c r="A15" s="1">
        <v>23011710</v>
      </c>
      <c r="B15" t="s">
        <v>105</v>
      </c>
      <c r="C15" s="3" t="s">
        <v>117</v>
      </c>
      <c r="D15" s="1" t="s">
        <v>121</v>
      </c>
      <c r="E15" s="1" t="s">
        <v>119</v>
      </c>
      <c r="F15" s="1">
        <v>8.9962499999999999</v>
      </c>
      <c r="G15" s="1">
        <v>0</v>
      </c>
    </row>
    <row r="16" spans="1:7" x14ac:dyDescent="0.3">
      <c r="A16" s="1">
        <v>23010916</v>
      </c>
      <c r="B16" t="s">
        <v>106</v>
      </c>
      <c r="C16" s="3" t="s">
        <v>118</v>
      </c>
      <c r="D16" s="1" t="s">
        <v>121</v>
      </c>
      <c r="E16" s="1" t="s">
        <v>119</v>
      </c>
      <c r="F16" s="1">
        <v>8.0350000000000001</v>
      </c>
      <c r="G16" s="1">
        <v>0</v>
      </c>
    </row>
    <row r="17" spans="1:7" x14ac:dyDescent="0.3">
      <c r="A17" s="1">
        <v>23011916</v>
      </c>
      <c r="B17" t="s">
        <v>107</v>
      </c>
      <c r="C17" s="3" t="s">
        <v>118</v>
      </c>
      <c r="D17" s="1" t="s">
        <v>121</v>
      </c>
      <c r="E17" s="1" t="s">
        <v>119</v>
      </c>
      <c r="F17" s="1">
        <v>10.54125</v>
      </c>
      <c r="G17" s="1">
        <v>0</v>
      </c>
    </row>
    <row r="18" spans="1:7" x14ac:dyDescent="0.3">
      <c r="A18" s="1">
        <v>22031229</v>
      </c>
      <c r="B18" t="s">
        <v>108</v>
      </c>
      <c r="C18" s="3" t="s">
        <v>118</v>
      </c>
      <c r="D18" s="1" t="s">
        <v>121</v>
      </c>
      <c r="E18" s="1" t="s">
        <v>119</v>
      </c>
      <c r="F18" s="1">
        <v>8.5287500000000005</v>
      </c>
      <c r="G18" s="1">
        <v>0</v>
      </c>
    </row>
    <row r="19" spans="1:7" x14ac:dyDescent="0.3">
      <c r="A19" s="1">
        <v>23011831</v>
      </c>
      <c r="B19" t="s">
        <v>109</v>
      </c>
      <c r="C19" s="3" t="s">
        <v>117</v>
      </c>
      <c r="D19" s="1" t="s">
        <v>121</v>
      </c>
      <c r="E19" s="1" t="s">
        <v>119</v>
      </c>
      <c r="F19" s="1">
        <v>9.5245833333333323</v>
      </c>
      <c r="G19" s="1">
        <v>1</v>
      </c>
    </row>
    <row r="20" spans="1:7" x14ac:dyDescent="0.3">
      <c r="A20" s="1">
        <v>22031209</v>
      </c>
      <c r="B20" t="s">
        <v>110</v>
      </c>
      <c r="C20" s="3" t="s">
        <v>118</v>
      </c>
      <c r="D20" s="1" t="s">
        <v>121</v>
      </c>
      <c r="E20" s="1" t="s">
        <v>119</v>
      </c>
      <c r="F20" s="1">
        <v>4.1666666666666671E-2</v>
      </c>
      <c r="G20" s="1">
        <v>2</v>
      </c>
    </row>
    <row r="21" spans="1:7" x14ac:dyDescent="0.3">
      <c r="A21" s="1">
        <v>23011835</v>
      </c>
      <c r="B21" t="s">
        <v>111</v>
      </c>
      <c r="C21" s="3" t="s">
        <v>117</v>
      </c>
      <c r="D21" s="1" t="s">
        <v>121</v>
      </c>
      <c r="E21" s="1" t="s">
        <v>119</v>
      </c>
      <c r="F21" s="1">
        <v>9.0370833333333334</v>
      </c>
      <c r="G21" s="1">
        <v>1</v>
      </c>
    </row>
    <row r="22" spans="1:7" x14ac:dyDescent="0.3">
      <c r="A22" s="1">
        <v>23011717</v>
      </c>
      <c r="B22" t="s">
        <v>112</v>
      </c>
      <c r="C22" s="3" t="s">
        <v>118</v>
      </c>
      <c r="D22" s="1" t="s">
        <v>121</v>
      </c>
      <c r="E22" s="1" t="s">
        <v>119</v>
      </c>
      <c r="F22" s="1">
        <v>8.4974999999999987</v>
      </c>
      <c r="G22" s="1">
        <v>0</v>
      </c>
    </row>
    <row r="23" spans="1:7" x14ac:dyDescent="0.3">
      <c r="A23" s="1">
        <v>23011844</v>
      </c>
      <c r="B23" t="s">
        <v>113</v>
      </c>
      <c r="C23" s="3" t="s">
        <v>117</v>
      </c>
      <c r="D23" s="1" t="s">
        <v>121</v>
      </c>
      <c r="E23" s="1" t="s">
        <v>119</v>
      </c>
      <c r="F23" s="1">
        <v>8.9620833333333341</v>
      </c>
      <c r="G23" s="1">
        <v>1</v>
      </c>
    </row>
    <row r="24" spans="1:7" x14ac:dyDescent="0.3">
      <c r="A24" s="1">
        <v>22031509</v>
      </c>
      <c r="B24" t="s">
        <v>114</v>
      </c>
      <c r="C24" s="3" t="s">
        <v>118</v>
      </c>
      <c r="D24" s="1" t="s">
        <v>121</v>
      </c>
      <c r="E24" s="1" t="s">
        <v>119</v>
      </c>
      <c r="F24" s="1">
        <v>0</v>
      </c>
      <c r="G24" s="1">
        <v>3</v>
      </c>
    </row>
    <row r="25" spans="1:7" x14ac:dyDescent="0.3">
      <c r="A25" s="1">
        <v>23010935</v>
      </c>
      <c r="B25" t="s">
        <v>115</v>
      </c>
      <c r="C25" s="3" t="s">
        <v>117</v>
      </c>
      <c r="D25" s="1" t="s">
        <v>121</v>
      </c>
      <c r="E25" s="1" t="s">
        <v>119</v>
      </c>
      <c r="F25" s="1">
        <v>9.9975000000000005</v>
      </c>
      <c r="G25" s="1">
        <v>0</v>
      </c>
    </row>
    <row r="26" spans="1:7" x14ac:dyDescent="0.3">
      <c r="A26" s="1">
        <v>22031033</v>
      </c>
      <c r="B26" t="s">
        <v>116</v>
      </c>
      <c r="C26" s="3" t="s">
        <v>118</v>
      </c>
      <c r="D26" s="1" t="s">
        <v>121</v>
      </c>
      <c r="E26" s="1" t="s">
        <v>119</v>
      </c>
      <c r="F26" s="1">
        <v>0</v>
      </c>
      <c r="G26" s="1">
        <v>3</v>
      </c>
    </row>
    <row r="27" spans="1:7" x14ac:dyDescent="0.3">
      <c r="A27" s="1">
        <v>22031083</v>
      </c>
      <c r="B27" t="s">
        <v>122</v>
      </c>
      <c r="C27" s="3" t="s">
        <v>118</v>
      </c>
      <c r="D27" s="1" t="s">
        <v>148</v>
      </c>
      <c r="E27" s="1" t="s">
        <v>149</v>
      </c>
      <c r="F27" s="1">
        <v>9.5120000000000005</v>
      </c>
      <c r="G27" s="1">
        <v>0</v>
      </c>
    </row>
    <row r="28" spans="1:7" x14ac:dyDescent="0.3">
      <c r="A28" s="1">
        <v>22031043</v>
      </c>
      <c r="B28" t="s">
        <v>123</v>
      </c>
      <c r="C28" s="3" t="s">
        <v>118</v>
      </c>
      <c r="D28" s="1" t="s">
        <v>148</v>
      </c>
      <c r="E28" s="1" t="s">
        <v>149</v>
      </c>
      <c r="F28" s="1">
        <v>9.9559999999999995</v>
      </c>
      <c r="G28" s="1">
        <v>0</v>
      </c>
    </row>
    <row r="29" spans="1:7" x14ac:dyDescent="0.3">
      <c r="A29" s="1">
        <v>22031330</v>
      </c>
      <c r="B29" t="s">
        <v>124</v>
      </c>
      <c r="C29" s="3" t="s">
        <v>118</v>
      </c>
      <c r="D29" s="1" t="s">
        <v>148</v>
      </c>
      <c r="E29" s="1" t="s">
        <v>149</v>
      </c>
      <c r="F29" s="1">
        <v>9.9559999999999995</v>
      </c>
      <c r="G29" s="1">
        <v>0</v>
      </c>
    </row>
    <row r="30" spans="1:7" x14ac:dyDescent="0.3">
      <c r="A30" s="1">
        <v>22030279</v>
      </c>
      <c r="B30" t="s">
        <v>125</v>
      </c>
      <c r="C30" s="3" t="s">
        <v>117</v>
      </c>
      <c r="D30" s="1" t="s">
        <v>148</v>
      </c>
      <c r="E30" s="1" t="s">
        <v>149</v>
      </c>
      <c r="F30" s="1">
        <v>10</v>
      </c>
      <c r="G30" s="1">
        <v>0</v>
      </c>
    </row>
    <row r="31" spans="1:7" x14ac:dyDescent="0.3">
      <c r="A31" s="1">
        <v>22031080</v>
      </c>
      <c r="B31" t="s">
        <v>126</v>
      </c>
      <c r="C31" s="3" t="s">
        <v>117</v>
      </c>
      <c r="D31" s="1" t="s">
        <v>148</v>
      </c>
      <c r="E31" s="1" t="s">
        <v>149</v>
      </c>
      <c r="F31" s="1">
        <v>8.4817499999999999</v>
      </c>
      <c r="G31" s="1">
        <v>0</v>
      </c>
    </row>
    <row r="32" spans="1:7" x14ac:dyDescent="0.3">
      <c r="A32" s="1">
        <v>22030924</v>
      </c>
      <c r="B32" t="s">
        <v>127</v>
      </c>
      <c r="C32" s="3" t="s">
        <v>117</v>
      </c>
      <c r="D32" s="1" t="s">
        <v>148</v>
      </c>
      <c r="E32" s="1" t="s">
        <v>149</v>
      </c>
      <c r="F32" s="1">
        <v>7.976</v>
      </c>
      <c r="G32" s="1">
        <v>0</v>
      </c>
    </row>
    <row r="33" spans="1:7" x14ac:dyDescent="0.3">
      <c r="A33" s="1">
        <v>22031060</v>
      </c>
      <c r="B33" t="s">
        <v>128</v>
      </c>
      <c r="C33" s="3" t="s">
        <v>117</v>
      </c>
      <c r="D33" s="1" t="s">
        <v>148</v>
      </c>
      <c r="E33" s="1" t="s">
        <v>149</v>
      </c>
      <c r="F33" s="1">
        <v>6.5367499999999996</v>
      </c>
      <c r="G33" s="1">
        <v>0</v>
      </c>
    </row>
    <row r="34" spans="1:7" x14ac:dyDescent="0.3">
      <c r="A34" s="1">
        <v>22031116</v>
      </c>
      <c r="B34" t="s">
        <v>129</v>
      </c>
      <c r="C34" s="3" t="s">
        <v>117</v>
      </c>
      <c r="D34" s="1" t="s">
        <v>148</v>
      </c>
      <c r="E34" s="1" t="s">
        <v>149</v>
      </c>
      <c r="F34" s="1">
        <v>7.5</v>
      </c>
      <c r="G34" s="1">
        <v>2</v>
      </c>
    </row>
    <row r="35" spans="1:7" x14ac:dyDescent="0.3">
      <c r="A35" s="1">
        <v>22031308</v>
      </c>
      <c r="B35" t="s">
        <v>130</v>
      </c>
      <c r="C35" s="3" t="s">
        <v>118</v>
      </c>
      <c r="D35" s="1" t="s">
        <v>148</v>
      </c>
      <c r="E35" s="1" t="s">
        <v>149</v>
      </c>
      <c r="F35" s="1">
        <v>6.4836249999999991</v>
      </c>
      <c r="G35" s="1">
        <v>1</v>
      </c>
    </row>
    <row r="36" spans="1:7" x14ac:dyDescent="0.3">
      <c r="A36" s="1">
        <v>22031728</v>
      </c>
      <c r="B36" t="s">
        <v>131</v>
      </c>
      <c r="C36" s="3" t="s">
        <v>117</v>
      </c>
      <c r="D36" s="1" t="s">
        <v>148</v>
      </c>
      <c r="E36" s="1" t="s">
        <v>149</v>
      </c>
      <c r="F36" s="1">
        <v>8.5307499999999994</v>
      </c>
      <c r="G36" s="1">
        <v>0</v>
      </c>
    </row>
    <row r="37" spans="1:7" x14ac:dyDescent="0.3">
      <c r="A37" s="1">
        <v>22031445</v>
      </c>
      <c r="B37" t="s">
        <v>132</v>
      </c>
      <c r="C37" s="3" t="s">
        <v>117</v>
      </c>
      <c r="D37" s="1" t="s">
        <v>148</v>
      </c>
      <c r="E37" s="1" t="s">
        <v>149</v>
      </c>
      <c r="F37" s="1">
        <v>6.4713750000000001</v>
      </c>
      <c r="G37" s="1">
        <v>1</v>
      </c>
    </row>
    <row r="38" spans="1:7" x14ac:dyDescent="0.3">
      <c r="A38" s="1">
        <v>22031422</v>
      </c>
      <c r="B38" t="s">
        <v>133</v>
      </c>
      <c r="C38" s="3" t="s">
        <v>117</v>
      </c>
      <c r="D38" s="1" t="s">
        <v>148</v>
      </c>
      <c r="E38" s="1" t="s">
        <v>149</v>
      </c>
      <c r="F38" s="1">
        <v>10.016999999999999</v>
      </c>
      <c r="G38" s="1">
        <v>0</v>
      </c>
    </row>
    <row r="39" spans="1:7" x14ac:dyDescent="0.3">
      <c r="A39" s="1">
        <v>23032740</v>
      </c>
      <c r="B39" t="s">
        <v>134</v>
      </c>
      <c r="C39" s="3" t="s">
        <v>117</v>
      </c>
      <c r="D39" s="1" t="s">
        <v>148</v>
      </c>
      <c r="E39" s="1" t="s">
        <v>149</v>
      </c>
      <c r="F39" s="1">
        <v>9.5289999999999999</v>
      </c>
      <c r="G39" s="1">
        <v>0</v>
      </c>
    </row>
    <row r="40" spans="1:7" x14ac:dyDescent="0.3">
      <c r="A40" s="1">
        <v>22031519</v>
      </c>
      <c r="B40" t="s">
        <v>135</v>
      </c>
      <c r="C40" s="3" t="s">
        <v>117</v>
      </c>
      <c r="D40" s="1" t="s">
        <v>148</v>
      </c>
      <c r="E40" s="1" t="s">
        <v>149</v>
      </c>
      <c r="F40" s="1">
        <v>9.5350000000000001</v>
      </c>
      <c r="G40" s="1">
        <v>0</v>
      </c>
    </row>
    <row r="41" spans="1:7" x14ac:dyDescent="0.3">
      <c r="A41" s="1">
        <v>22031616</v>
      </c>
      <c r="B41" t="s">
        <v>136</v>
      </c>
      <c r="C41" s="3" t="s">
        <v>117</v>
      </c>
      <c r="D41" s="1" t="s">
        <v>148</v>
      </c>
      <c r="E41" s="1" t="s">
        <v>149</v>
      </c>
      <c r="F41" s="1">
        <v>9.6340000000000003</v>
      </c>
      <c r="G41" s="1">
        <v>0</v>
      </c>
    </row>
    <row r="42" spans="1:7" x14ac:dyDescent="0.3">
      <c r="A42" s="1">
        <v>22031705</v>
      </c>
      <c r="B42" t="s">
        <v>137</v>
      </c>
      <c r="C42" s="3" t="s">
        <v>118</v>
      </c>
      <c r="D42" s="1" t="s">
        <v>148</v>
      </c>
      <c r="E42" s="1" t="s">
        <v>149</v>
      </c>
      <c r="F42" s="1">
        <v>9.6340000000000003</v>
      </c>
      <c r="G42" s="1">
        <v>0</v>
      </c>
    </row>
    <row r="43" spans="1:7" x14ac:dyDescent="0.3">
      <c r="A43" s="1">
        <v>21030700</v>
      </c>
      <c r="B43" t="s">
        <v>138</v>
      </c>
      <c r="C43" s="3" t="s">
        <v>118</v>
      </c>
      <c r="D43" s="1" t="s">
        <v>148</v>
      </c>
      <c r="E43" s="1" t="s">
        <v>149</v>
      </c>
      <c r="F43" s="1">
        <v>1.8242500000000001</v>
      </c>
      <c r="G43" s="1">
        <v>6</v>
      </c>
    </row>
    <row r="44" spans="1:7" x14ac:dyDescent="0.3">
      <c r="A44" s="1">
        <v>22030890</v>
      </c>
      <c r="B44" t="s">
        <v>139</v>
      </c>
      <c r="C44" s="3" t="s">
        <v>117</v>
      </c>
      <c r="D44" s="1" t="s">
        <v>148</v>
      </c>
      <c r="E44" s="1" t="s">
        <v>149</v>
      </c>
      <c r="F44" s="1">
        <v>9.6539999999999999</v>
      </c>
      <c r="G44" s="1">
        <v>0</v>
      </c>
    </row>
    <row r="45" spans="1:7" x14ac:dyDescent="0.3">
      <c r="A45" s="1">
        <v>22031505</v>
      </c>
      <c r="B45" t="s">
        <v>140</v>
      </c>
      <c r="C45" s="3" t="s">
        <v>117</v>
      </c>
      <c r="D45" s="1" t="s">
        <v>148</v>
      </c>
      <c r="E45" s="1" t="s">
        <v>149</v>
      </c>
      <c r="F45" s="1">
        <v>9.5120000000000005</v>
      </c>
      <c r="G45" s="1">
        <v>0</v>
      </c>
    </row>
    <row r="46" spans="1:7" x14ac:dyDescent="0.3">
      <c r="A46" s="1">
        <v>22031107</v>
      </c>
      <c r="B46" t="s">
        <v>141</v>
      </c>
      <c r="C46" s="3" t="s">
        <v>117</v>
      </c>
      <c r="D46" s="1" t="s">
        <v>148</v>
      </c>
      <c r="E46" s="1" t="s">
        <v>149</v>
      </c>
      <c r="F46" s="1">
        <v>9.5299999999999994</v>
      </c>
      <c r="G46" s="1">
        <v>0</v>
      </c>
    </row>
    <row r="47" spans="1:7" x14ac:dyDescent="0.3">
      <c r="A47" s="1">
        <v>22031349</v>
      </c>
      <c r="B47" t="s">
        <v>142</v>
      </c>
      <c r="C47" s="3" t="s">
        <v>117</v>
      </c>
      <c r="D47" s="1" t="s">
        <v>148</v>
      </c>
      <c r="E47" s="1" t="s">
        <v>149</v>
      </c>
      <c r="F47" s="1">
        <v>8.5114999999999998</v>
      </c>
      <c r="G47" s="1">
        <v>0</v>
      </c>
    </row>
    <row r="48" spans="1:7" x14ac:dyDescent="0.3">
      <c r="A48" s="1">
        <v>22010881</v>
      </c>
      <c r="B48" t="s">
        <v>143</v>
      </c>
      <c r="C48" s="3" t="s">
        <v>117</v>
      </c>
      <c r="D48" s="1" t="s">
        <v>148</v>
      </c>
      <c r="E48" s="1" t="s">
        <v>149</v>
      </c>
      <c r="F48" s="1">
        <v>6.4706249999999992</v>
      </c>
      <c r="G48" s="1">
        <v>3</v>
      </c>
    </row>
    <row r="49" spans="1:7" x14ac:dyDescent="0.3">
      <c r="A49" s="1">
        <v>22031249</v>
      </c>
      <c r="B49" t="s">
        <v>147</v>
      </c>
      <c r="C49" s="3" t="s">
        <v>117</v>
      </c>
      <c r="D49" s="1" t="s">
        <v>148</v>
      </c>
      <c r="E49" s="1" t="s">
        <v>149</v>
      </c>
      <c r="F49" s="1">
        <v>6.5062500000000005</v>
      </c>
      <c r="G49" s="1">
        <v>2</v>
      </c>
    </row>
    <row r="50" spans="1:7" x14ac:dyDescent="0.3">
      <c r="A50" s="1">
        <v>21030428</v>
      </c>
      <c r="B50" t="s">
        <v>144</v>
      </c>
      <c r="C50" s="3" t="s">
        <v>118</v>
      </c>
      <c r="D50" s="1" t="s">
        <v>148</v>
      </c>
      <c r="E50" s="1" t="s">
        <v>149</v>
      </c>
      <c r="F50" s="1">
        <v>9.5120000000000005</v>
      </c>
      <c r="G50" s="1">
        <v>0</v>
      </c>
    </row>
    <row r="51" spans="1:7" x14ac:dyDescent="0.3">
      <c r="A51" s="1">
        <v>22031291</v>
      </c>
      <c r="B51" t="s">
        <v>145</v>
      </c>
      <c r="C51" s="3" t="s">
        <v>117</v>
      </c>
      <c r="D51" s="1" t="s">
        <v>148</v>
      </c>
      <c r="E51" s="1" t="s">
        <v>149</v>
      </c>
      <c r="F51" s="1">
        <v>10.039</v>
      </c>
      <c r="G51" s="1">
        <v>0</v>
      </c>
    </row>
    <row r="52" spans="1:7" x14ac:dyDescent="0.3">
      <c r="A52" s="1">
        <v>22030947</v>
      </c>
      <c r="B52" t="s">
        <v>146</v>
      </c>
      <c r="C52" s="3" t="s">
        <v>118</v>
      </c>
      <c r="D52" s="1" t="s">
        <v>148</v>
      </c>
      <c r="E52" s="1" t="s">
        <v>149</v>
      </c>
      <c r="F52" s="1">
        <v>8.9753749999999997</v>
      </c>
      <c r="G52" s="1">
        <v>1</v>
      </c>
    </row>
    <row r="53" spans="1:7" x14ac:dyDescent="0.3">
      <c r="A53" s="1">
        <v>22031622</v>
      </c>
      <c r="B53" t="s">
        <v>151</v>
      </c>
      <c r="C53" s="3" t="s">
        <v>117</v>
      </c>
      <c r="D53" s="3" t="s">
        <v>176</v>
      </c>
      <c r="E53" s="1" t="s">
        <v>149</v>
      </c>
      <c r="F53" s="1">
        <v>9.49</v>
      </c>
      <c r="G53" s="1">
        <v>0</v>
      </c>
    </row>
    <row r="54" spans="1:7" x14ac:dyDescent="0.3">
      <c r="A54" s="1">
        <v>22030976</v>
      </c>
      <c r="B54" t="s">
        <v>152</v>
      </c>
      <c r="C54" s="3" t="s">
        <v>117</v>
      </c>
      <c r="D54" s="3" t="s">
        <v>176</v>
      </c>
      <c r="E54" s="1" t="s">
        <v>149</v>
      </c>
      <c r="F54" s="1">
        <v>6.9805000000000001</v>
      </c>
      <c r="G54" s="1">
        <v>3</v>
      </c>
    </row>
    <row r="55" spans="1:7" x14ac:dyDescent="0.3">
      <c r="A55" s="1">
        <v>22031478</v>
      </c>
      <c r="B55" t="s">
        <v>153</v>
      </c>
      <c r="C55" s="3" t="s">
        <v>118</v>
      </c>
      <c r="D55" s="3" t="s">
        <v>176</v>
      </c>
      <c r="E55" s="1" t="s">
        <v>149</v>
      </c>
      <c r="F55" s="1">
        <v>6.9984999999999999</v>
      </c>
      <c r="G55" s="1">
        <v>3</v>
      </c>
    </row>
    <row r="56" spans="1:7" x14ac:dyDescent="0.3">
      <c r="A56" s="1">
        <v>22031434</v>
      </c>
      <c r="B56" t="s">
        <v>154</v>
      </c>
      <c r="C56" s="3" t="s">
        <v>117</v>
      </c>
      <c r="D56" s="3" t="s">
        <v>176</v>
      </c>
      <c r="E56" s="1" t="s">
        <v>149</v>
      </c>
      <c r="F56" s="1">
        <v>9.9779999999999998</v>
      </c>
      <c r="G56" s="1">
        <v>0</v>
      </c>
    </row>
    <row r="57" spans="1:7" x14ac:dyDescent="0.3">
      <c r="A57" s="1">
        <v>22031664</v>
      </c>
      <c r="B57" t="s">
        <v>155</v>
      </c>
      <c r="C57" s="3" t="s">
        <v>118</v>
      </c>
      <c r="D57" s="3" t="s">
        <v>176</v>
      </c>
      <c r="E57" s="1" t="s">
        <v>149</v>
      </c>
      <c r="F57" s="1">
        <v>7.0035833333333324</v>
      </c>
      <c r="G57" s="1">
        <v>1</v>
      </c>
    </row>
    <row r="58" spans="1:7" x14ac:dyDescent="0.3">
      <c r="A58" s="1">
        <v>21030499</v>
      </c>
      <c r="B58" t="s">
        <v>156</v>
      </c>
      <c r="C58" s="3" t="s">
        <v>117</v>
      </c>
      <c r="D58" s="3" t="s">
        <v>176</v>
      </c>
      <c r="E58" s="1" t="s">
        <v>149</v>
      </c>
      <c r="F58" s="1">
        <v>5.9852499999999997</v>
      </c>
      <c r="G58" s="1">
        <v>6</v>
      </c>
    </row>
    <row r="59" spans="1:7" x14ac:dyDescent="0.3">
      <c r="A59" s="1">
        <v>22031613</v>
      </c>
      <c r="B59" t="s">
        <v>157</v>
      </c>
      <c r="C59" s="3" t="s">
        <v>117</v>
      </c>
      <c r="D59" s="3" t="s">
        <v>176</v>
      </c>
      <c r="E59" s="1" t="s">
        <v>149</v>
      </c>
      <c r="F59" s="1">
        <v>6.9961666666666673</v>
      </c>
      <c r="G59" s="1">
        <v>2</v>
      </c>
    </row>
    <row r="60" spans="1:7" x14ac:dyDescent="0.3">
      <c r="A60" s="1">
        <v>22031627</v>
      </c>
      <c r="B60" t="s">
        <v>158</v>
      </c>
      <c r="C60" s="3" t="s">
        <v>117</v>
      </c>
      <c r="D60" s="3" t="s">
        <v>176</v>
      </c>
      <c r="E60" s="1" t="s">
        <v>149</v>
      </c>
      <c r="F60" s="1">
        <v>6.5190833333333336</v>
      </c>
      <c r="G60" s="1">
        <v>1</v>
      </c>
    </row>
    <row r="61" spans="1:7" x14ac:dyDescent="0.3">
      <c r="A61" s="1">
        <v>22031421</v>
      </c>
      <c r="B61" t="s">
        <v>159</v>
      </c>
      <c r="C61" s="3" t="s">
        <v>117</v>
      </c>
      <c r="D61" s="3" t="s">
        <v>176</v>
      </c>
      <c r="E61" s="1" t="s">
        <v>149</v>
      </c>
      <c r="F61" s="1">
        <v>5.9558333333333326</v>
      </c>
      <c r="G61" s="1">
        <v>7</v>
      </c>
    </row>
    <row r="62" spans="1:7" x14ac:dyDescent="0.3">
      <c r="A62" s="1">
        <v>18030514</v>
      </c>
      <c r="B62" t="s">
        <v>160</v>
      </c>
      <c r="C62" s="3" t="s">
        <v>117</v>
      </c>
      <c r="D62" s="3" t="s">
        <v>176</v>
      </c>
      <c r="E62" s="1" t="s">
        <v>149</v>
      </c>
      <c r="F62" s="1">
        <v>9.4764999999999997</v>
      </c>
      <c r="G62" s="1">
        <v>0</v>
      </c>
    </row>
    <row r="63" spans="1:7" x14ac:dyDescent="0.3">
      <c r="A63" s="1">
        <v>22031607</v>
      </c>
      <c r="B63" t="s">
        <v>161</v>
      </c>
      <c r="C63" s="3" t="s">
        <v>117</v>
      </c>
      <c r="D63" s="3" t="s">
        <v>176</v>
      </c>
      <c r="E63" s="1" t="s">
        <v>149</v>
      </c>
      <c r="F63" s="1">
        <v>9.9550000000000001</v>
      </c>
      <c r="G63" s="1">
        <v>0</v>
      </c>
    </row>
    <row r="64" spans="1:7" x14ac:dyDescent="0.3">
      <c r="A64" s="1">
        <v>22030006</v>
      </c>
      <c r="B64" t="s">
        <v>162</v>
      </c>
      <c r="C64" s="3" t="s">
        <v>117</v>
      </c>
      <c r="D64" s="3" t="s">
        <v>176</v>
      </c>
      <c r="E64" s="1" t="s">
        <v>149</v>
      </c>
      <c r="F64" s="1">
        <v>9.5329999999999995</v>
      </c>
      <c r="G64" s="1">
        <v>0</v>
      </c>
    </row>
    <row r="65" spans="1:7" x14ac:dyDescent="0.3">
      <c r="A65" s="1">
        <v>22031480</v>
      </c>
      <c r="B65" t="s">
        <v>163</v>
      </c>
      <c r="C65" s="3" t="s">
        <v>117</v>
      </c>
      <c r="D65" s="3" t="s">
        <v>176</v>
      </c>
      <c r="E65" s="1" t="s">
        <v>149</v>
      </c>
      <c r="F65" s="1">
        <v>9.4619999999999997</v>
      </c>
      <c r="G65" s="1">
        <v>0</v>
      </c>
    </row>
    <row r="66" spans="1:7" x14ac:dyDescent="0.3">
      <c r="A66" s="1">
        <v>22031532</v>
      </c>
      <c r="B66" t="s">
        <v>164</v>
      </c>
      <c r="C66" s="3" t="s">
        <v>117</v>
      </c>
      <c r="D66" s="3" t="s">
        <v>176</v>
      </c>
      <c r="E66" s="1" t="s">
        <v>149</v>
      </c>
      <c r="F66" s="1">
        <v>6.5269166666666667</v>
      </c>
      <c r="G66" s="1">
        <v>2</v>
      </c>
    </row>
    <row r="67" spans="1:7" x14ac:dyDescent="0.3">
      <c r="A67" s="1">
        <v>22031589</v>
      </c>
      <c r="B67" t="s">
        <v>165</v>
      </c>
      <c r="C67" s="3" t="s">
        <v>117</v>
      </c>
      <c r="D67" s="3" t="s">
        <v>176</v>
      </c>
      <c r="E67" s="1" t="s">
        <v>149</v>
      </c>
      <c r="F67" s="1">
        <v>6.4584166666666665</v>
      </c>
      <c r="G67" s="1">
        <v>2</v>
      </c>
    </row>
    <row r="68" spans="1:7" x14ac:dyDescent="0.3">
      <c r="A68" s="1">
        <v>22031347</v>
      </c>
      <c r="B68" t="s">
        <v>166</v>
      </c>
      <c r="C68" s="3" t="s">
        <v>118</v>
      </c>
      <c r="D68" s="3" t="s">
        <v>176</v>
      </c>
      <c r="E68" s="1" t="s">
        <v>149</v>
      </c>
      <c r="F68" s="1">
        <v>9.9939999999999998</v>
      </c>
      <c r="G68" s="1">
        <v>0</v>
      </c>
    </row>
    <row r="69" spans="1:7" x14ac:dyDescent="0.3">
      <c r="A69" s="1">
        <v>22031412</v>
      </c>
      <c r="B69" t="s">
        <v>167</v>
      </c>
      <c r="C69" s="3" t="s">
        <v>118</v>
      </c>
      <c r="D69" s="3" t="s">
        <v>176</v>
      </c>
      <c r="E69" s="1" t="s">
        <v>149</v>
      </c>
      <c r="F69" s="1">
        <v>6.4565833333333336</v>
      </c>
      <c r="G69" s="1">
        <v>1</v>
      </c>
    </row>
    <row r="70" spans="1:7" x14ac:dyDescent="0.3">
      <c r="A70" s="1">
        <v>22031327</v>
      </c>
      <c r="B70" t="s">
        <v>168</v>
      </c>
      <c r="C70" s="3" t="s">
        <v>117</v>
      </c>
      <c r="D70" s="3" t="s">
        <v>176</v>
      </c>
      <c r="E70" s="1" t="s">
        <v>149</v>
      </c>
      <c r="F70" s="1">
        <v>10.039</v>
      </c>
      <c r="G70" s="1">
        <v>0</v>
      </c>
    </row>
    <row r="71" spans="1:7" x14ac:dyDescent="0.3">
      <c r="A71" s="1">
        <v>22031527</v>
      </c>
      <c r="B71" t="s">
        <v>169</v>
      </c>
      <c r="C71" s="3" t="s">
        <v>117</v>
      </c>
      <c r="D71" s="3" t="s">
        <v>176</v>
      </c>
      <c r="E71" s="1" t="s">
        <v>149</v>
      </c>
      <c r="F71" s="1">
        <v>9.9559999999999995</v>
      </c>
      <c r="G71" s="1">
        <v>0</v>
      </c>
    </row>
    <row r="72" spans="1:7" x14ac:dyDescent="0.3">
      <c r="A72" s="1">
        <v>22031448</v>
      </c>
      <c r="B72" t="s">
        <v>170</v>
      </c>
      <c r="C72" s="3" t="s">
        <v>118</v>
      </c>
      <c r="D72" s="3" t="s">
        <v>176</v>
      </c>
      <c r="E72" s="1" t="s">
        <v>149</v>
      </c>
      <c r="F72" s="1">
        <v>7.4517499999999997</v>
      </c>
      <c r="G72" s="1">
        <v>0</v>
      </c>
    </row>
    <row r="73" spans="1:7" x14ac:dyDescent="0.3">
      <c r="A73" s="1">
        <v>22031690</v>
      </c>
      <c r="B73" t="s">
        <v>171</v>
      </c>
      <c r="C73" s="3" t="s">
        <v>118</v>
      </c>
      <c r="D73" s="3" t="s">
        <v>176</v>
      </c>
      <c r="E73" s="1" t="s">
        <v>149</v>
      </c>
      <c r="F73" s="1">
        <v>7.0437499999999993</v>
      </c>
      <c r="G73" s="1">
        <v>3</v>
      </c>
    </row>
    <row r="74" spans="1:7" x14ac:dyDescent="0.3">
      <c r="A74" s="1">
        <v>22031032</v>
      </c>
      <c r="B74" t="s">
        <v>172</v>
      </c>
      <c r="C74" s="3" t="s">
        <v>118</v>
      </c>
      <c r="D74" s="3" t="s">
        <v>176</v>
      </c>
      <c r="E74" s="1" t="s">
        <v>149</v>
      </c>
      <c r="F74" s="1">
        <v>9.5289999999999999</v>
      </c>
      <c r="G74" s="1">
        <v>0</v>
      </c>
    </row>
    <row r="75" spans="1:7" x14ac:dyDescent="0.3">
      <c r="A75" s="1">
        <v>22031161</v>
      </c>
      <c r="B75" t="s">
        <v>173</v>
      </c>
      <c r="C75" s="3" t="s">
        <v>117</v>
      </c>
      <c r="D75" s="3" t="s">
        <v>176</v>
      </c>
      <c r="E75" s="1" t="s">
        <v>149</v>
      </c>
      <c r="F75" s="1">
        <v>9.522000000000002</v>
      </c>
      <c r="G75" s="1">
        <v>0</v>
      </c>
    </row>
    <row r="76" spans="1:7" x14ac:dyDescent="0.3">
      <c r="A76" s="1">
        <v>22030954</v>
      </c>
      <c r="B76" t="s">
        <v>174</v>
      </c>
      <c r="C76" s="3" t="s">
        <v>118</v>
      </c>
      <c r="D76" s="3" t="s">
        <v>176</v>
      </c>
      <c r="E76" s="1" t="s">
        <v>149</v>
      </c>
      <c r="F76" s="1">
        <v>7.4930833333333338</v>
      </c>
      <c r="G76" s="1">
        <v>1</v>
      </c>
    </row>
    <row r="77" spans="1:7" x14ac:dyDescent="0.3">
      <c r="A77" s="1">
        <v>22030963</v>
      </c>
      <c r="B77" t="s">
        <v>175</v>
      </c>
      <c r="C77" s="3" t="s">
        <v>118</v>
      </c>
      <c r="D77" s="3" t="s">
        <v>176</v>
      </c>
      <c r="E77" s="1" t="s">
        <v>149</v>
      </c>
      <c r="F77" s="1">
        <v>9.7949999999999999</v>
      </c>
      <c r="G77" s="1">
        <v>0</v>
      </c>
    </row>
    <row r="78" spans="1:7" x14ac:dyDescent="0.3">
      <c r="A78" s="1">
        <v>22031504</v>
      </c>
      <c r="B78" t="s">
        <v>177</v>
      </c>
      <c r="C78" s="3" t="s">
        <v>117</v>
      </c>
      <c r="D78" s="3" t="s">
        <v>237</v>
      </c>
      <c r="E78" s="1" t="s">
        <v>149</v>
      </c>
      <c r="F78" s="1">
        <v>9.5389999999999997</v>
      </c>
      <c r="G78" s="1">
        <v>0</v>
      </c>
    </row>
    <row r="79" spans="1:7" x14ac:dyDescent="0.3">
      <c r="A79" s="1">
        <v>19031504</v>
      </c>
      <c r="B79" t="s">
        <v>178</v>
      </c>
      <c r="C79" s="3" t="s">
        <v>117</v>
      </c>
      <c r="D79" s="3" t="s">
        <v>237</v>
      </c>
      <c r="E79" s="1" t="s">
        <v>149</v>
      </c>
      <c r="F79" s="1">
        <v>7.0175000000000001</v>
      </c>
      <c r="G79" s="1">
        <v>0</v>
      </c>
    </row>
    <row r="80" spans="1:7" x14ac:dyDescent="0.3">
      <c r="A80" s="1">
        <v>22031389</v>
      </c>
      <c r="B80" t="s">
        <v>179</v>
      </c>
      <c r="C80" s="3" t="s">
        <v>118</v>
      </c>
      <c r="D80" s="3" t="s">
        <v>237</v>
      </c>
      <c r="E80" s="1" t="s">
        <v>149</v>
      </c>
      <c r="F80" s="1">
        <v>9.6950000000000003</v>
      </c>
      <c r="G80" s="1">
        <v>0</v>
      </c>
    </row>
    <row r="81" spans="1:7" x14ac:dyDescent="0.3">
      <c r="A81" s="1">
        <v>22031743</v>
      </c>
      <c r="B81" t="s">
        <v>180</v>
      </c>
      <c r="C81" s="3" t="s">
        <v>118</v>
      </c>
      <c r="D81" s="3" t="s">
        <v>237</v>
      </c>
      <c r="E81" s="1" t="s">
        <v>149</v>
      </c>
      <c r="F81" s="1">
        <v>9.6609999999999996</v>
      </c>
      <c r="G81" s="1">
        <v>0</v>
      </c>
    </row>
    <row r="82" spans="1:7" x14ac:dyDescent="0.3">
      <c r="A82" s="1">
        <v>22031097</v>
      </c>
      <c r="B82" t="s">
        <v>181</v>
      </c>
      <c r="C82" s="3" t="s">
        <v>117</v>
      </c>
      <c r="D82" s="3" t="s">
        <v>237</v>
      </c>
      <c r="E82" s="1" t="s">
        <v>149</v>
      </c>
      <c r="F82" s="1">
        <v>9.6671666666666667</v>
      </c>
      <c r="G82" s="1">
        <v>2</v>
      </c>
    </row>
    <row r="83" spans="1:7" x14ac:dyDescent="0.3">
      <c r="A83" s="1">
        <v>22031479</v>
      </c>
      <c r="B83" t="s">
        <v>182</v>
      </c>
      <c r="C83" s="3" t="s">
        <v>118</v>
      </c>
      <c r="D83" s="3" t="s">
        <v>237</v>
      </c>
      <c r="E83" s="1" t="s">
        <v>149</v>
      </c>
      <c r="F83" s="1">
        <v>9.4710000000000001</v>
      </c>
      <c r="G83" s="1">
        <v>0</v>
      </c>
    </row>
    <row r="84" spans="1:7" x14ac:dyDescent="0.3">
      <c r="A84" s="1">
        <v>22030956</v>
      </c>
      <c r="B84" t="s">
        <v>183</v>
      </c>
      <c r="C84" s="3" t="s">
        <v>118</v>
      </c>
      <c r="D84" s="3" t="s">
        <v>237</v>
      </c>
      <c r="E84" s="1" t="s">
        <v>149</v>
      </c>
      <c r="F84" s="1">
        <v>9.6</v>
      </c>
      <c r="G84" s="1">
        <v>0</v>
      </c>
    </row>
    <row r="85" spans="1:7" x14ac:dyDescent="0.3">
      <c r="A85" s="1">
        <v>22030968</v>
      </c>
      <c r="B85" t="s">
        <v>184</v>
      </c>
      <c r="C85" s="3" t="s">
        <v>118</v>
      </c>
      <c r="D85" s="3" t="s">
        <v>237</v>
      </c>
      <c r="E85" s="1" t="s">
        <v>149</v>
      </c>
      <c r="F85" s="1">
        <v>9.0440000000000005</v>
      </c>
      <c r="G85" s="1">
        <v>0</v>
      </c>
    </row>
    <row r="86" spans="1:7" x14ac:dyDescent="0.3">
      <c r="A86" s="1">
        <v>22031417</v>
      </c>
      <c r="B86" t="s">
        <v>185</v>
      </c>
      <c r="C86" s="3" t="s">
        <v>117</v>
      </c>
      <c r="D86" s="3" t="s">
        <v>237</v>
      </c>
      <c r="E86" s="1" t="s">
        <v>149</v>
      </c>
      <c r="F86" s="1">
        <v>8.9559999999999995</v>
      </c>
      <c r="G86" s="1">
        <v>0</v>
      </c>
    </row>
    <row r="87" spans="1:7" x14ac:dyDescent="0.3">
      <c r="A87" s="1">
        <v>22030992</v>
      </c>
      <c r="B87" t="s">
        <v>186</v>
      </c>
      <c r="C87" s="3" t="s">
        <v>118</v>
      </c>
      <c r="D87" s="3" t="s">
        <v>237</v>
      </c>
      <c r="E87" s="1" t="s">
        <v>149</v>
      </c>
      <c r="F87" s="1">
        <v>9.9571666666666676</v>
      </c>
      <c r="G87" s="1">
        <v>2</v>
      </c>
    </row>
    <row r="88" spans="1:7" x14ac:dyDescent="0.3">
      <c r="A88" s="1">
        <v>22031046</v>
      </c>
      <c r="B88" t="s">
        <v>187</v>
      </c>
      <c r="C88" s="3" t="s">
        <v>117</v>
      </c>
      <c r="D88" s="3" t="s">
        <v>237</v>
      </c>
      <c r="E88" s="1" t="s">
        <v>149</v>
      </c>
      <c r="F88" s="1">
        <v>9.9571666666666676</v>
      </c>
      <c r="G88" s="1">
        <v>2</v>
      </c>
    </row>
    <row r="89" spans="1:7" x14ac:dyDescent="0.3">
      <c r="A89" s="1">
        <v>21030478</v>
      </c>
      <c r="B89" t="s">
        <v>188</v>
      </c>
      <c r="C89" s="3" t="s">
        <v>117</v>
      </c>
      <c r="D89" s="3" t="s">
        <v>237</v>
      </c>
      <c r="E89" s="1" t="s">
        <v>149</v>
      </c>
      <c r="F89" s="1">
        <v>7.5339999999999998</v>
      </c>
      <c r="G89" s="1">
        <v>6</v>
      </c>
    </row>
    <row r="90" spans="1:7" x14ac:dyDescent="0.3">
      <c r="A90" s="1">
        <v>22031140</v>
      </c>
      <c r="B90" t="s">
        <v>189</v>
      </c>
      <c r="C90" s="3" t="s">
        <v>118</v>
      </c>
      <c r="D90" s="3" t="s">
        <v>237</v>
      </c>
      <c r="E90" s="1" t="s">
        <v>149</v>
      </c>
      <c r="F90" s="1">
        <v>9.4830000000000005</v>
      </c>
      <c r="G90" s="1">
        <v>0</v>
      </c>
    </row>
    <row r="91" spans="1:7" x14ac:dyDescent="0.3">
      <c r="A91" s="1">
        <v>21011152</v>
      </c>
      <c r="B91" t="s">
        <v>190</v>
      </c>
      <c r="C91" s="3" t="s">
        <v>118</v>
      </c>
      <c r="D91" s="3" t="s">
        <v>237</v>
      </c>
      <c r="E91" s="1" t="s">
        <v>149</v>
      </c>
      <c r="F91" s="1">
        <v>8.4744166666666665</v>
      </c>
      <c r="G91" s="1">
        <v>2</v>
      </c>
    </row>
    <row r="92" spans="1:7" x14ac:dyDescent="0.3">
      <c r="A92" s="1">
        <v>22031126</v>
      </c>
      <c r="B92" t="s">
        <v>191</v>
      </c>
      <c r="C92" s="3" t="s">
        <v>117</v>
      </c>
      <c r="D92" s="3" t="s">
        <v>237</v>
      </c>
      <c r="E92" s="1" t="s">
        <v>149</v>
      </c>
      <c r="F92" s="1">
        <v>9.2259999999999991</v>
      </c>
      <c r="G92" s="1">
        <v>0</v>
      </c>
    </row>
    <row r="93" spans="1:7" x14ac:dyDescent="0.3">
      <c r="A93" s="1">
        <v>22031359</v>
      </c>
      <c r="B93" t="s">
        <v>192</v>
      </c>
      <c r="C93" s="3" t="s">
        <v>117</v>
      </c>
      <c r="D93" s="3" t="s">
        <v>237</v>
      </c>
      <c r="E93" s="1" t="s">
        <v>149</v>
      </c>
      <c r="F93" s="1">
        <v>9.468</v>
      </c>
      <c r="G93" s="1">
        <v>0</v>
      </c>
    </row>
    <row r="94" spans="1:7" x14ac:dyDescent="0.3">
      <c r="A94" s="1">
        <v>22031263</v>
      </c>
      <c r="B94" t="s">
        <v>193</v>
      </c>
      <c r="C94" s="3" t="s">
        <v>117</v>
      </c>
      <c r="D94" s="3" t="s">
        <v>237</v>
      </c>
      <c r="E94" s="1" t="s">
        <v>149</v>
      </c>
      <c r="F94" s="1">
        <v>6.4677499999999997</v>
      </c>
      <c r="G94" s="1">
        <v>6</v>
      </c>
    </row>
    <row r="95" spans="1:7" x14ac:dyDescent="0.3">
      <c r="A95" s="1">
        <v>22031088</v>
      </c>
      <c r="B95" t="s">
        <v>194</v>
      </c>
      <c r="C95" s="3" t="s">
        <v>117</v>
      </c>
      <c r="D95" s="3" t="s">
        <v>237</v>
      </c>
      <c r="E95" s="1" t="s">
        <v>149</v>
      </c>
      <c r="F95" s="1">
        <v>10.027999999999999</v>
      </c>
      <c r="G95" s="1">
        <v>0</v>
      </c>
    </row>
    <row r="96" spans="1:7" x14ac:dyDescent="0.3">
      <c r="A96" s="1">
        <v>22031217</v>
      </c>
      <c r="B96" t="s">
        <v>195</v>
      </c>
      <c r="C96" s="3" t="s">
        <v>118</v>
      </c>
      <c r="D96" s="3" t="s">
        <v>237</v>
      </c>
      <c r="E96" s="1" t="s">
        <v>149</v>
      </c>
      <c r="F96" s="1">
        <v>9.49</v>
      </c>
      <c r="G96" s="1">
        <v>0</v>
      </c>
    </row>
    <row r="97" spans="1:7" x14ac:dyDescent="0.3">
      <c r="A97" s="1">
        <v>22031302</v>
      </c>
      <c r="B97" t="s">
        <v>196</v>
      </c>
      <c r="C97" s="3" t="s">
        <v>117</v>
      </c>
      <c r="D97" s="3" t="s">
        <v>237</v>
      </c>
      <c r="E97" s="1" t="s">
        <v>149</v>
      </c>
      <c r="F97" s="1">
        <v>9.9779999999999998</v>
      </c>
      <c r="G97" s="1">
        <v>0</v>
      </c>
    </row>
    <row r="98" spans="1:7" x14ac:dyDescent="0.3">
      <c r="A98" s="1">
        <v>22031702</v>
      </c>
      <c r="B98" t="s">
        <v>197</v>
      </c>
      <c r="C98" s="3" t="s">
        <v>118</v>
      </c>
      <c r="D98" s="3" t="s">
        <v>237</v>
      </c>
      <c r="E98" s="1" t="s">
        <v>149</v>
      </c>
      <c r="F98" s="1">
        <v>9.0041666666666647</v>
      </c>
      <c r="G98" s="1">
        <v>2</v>
      </c>
    </row>
    <row r="99" spans="1:7" x14ac:dyDescent="0.3">
      <c r="A99" s="1">
        <v>22031711</v>
      </c>
      <c r="B99" t="s">
        <v>198</v>
      </c>
      <c r="C99" s="3" t="s">
        <v>117</v>
      </c>
      <c r="D99" s="3" t="s">
        <v>237</v>
      </c>
      <c r="E99" s="1" t="s">
        <v>149</v>
      </c>
      <c r="F99" s="1">
        <v>9.5451666666666668</v>
      </c>
      <c r="G99" s="1">
        <v>2</v>
      </c>
    </row>
    <row r="100" spans="1:7" x14ac:dyDescent="0.3">
      <c r="A100" s="1">
        <v>22031666</v>
      </c>
      <c r="B100" t="s">
        <v>199</v>
      </c>
      <c r="C100" s="3" t="s">
        <v>117</v>
      </c>
      <c r="D100" s="3" t="s">
        <v>237</v>
      </c>
      <c r="E100" s="1" t="s">
        <v>149</v>
      </c>
      <c r="F100" s="1">
        <v>9.9829999999999988</v>
      </c>
      <c r="G100" s="1">
        <v>0</v>
      </c>
    </row>
    <row r="101" spans="1:7" x14ac:dyDescent="0.3">
      <c r="A101" s="1">
        <v>22031520</v>
      </c>
      <c r="B101" t="s">
        <v>200</v>
      </c>
      <c r="C101" s="3" t="s">
        <v>118</v>
      </c>
      <c r="D101" s="3" t="s">
        <v>237</v>
      </c>
      <c r="E101" s="1" t="s">
        <v>149</v>
      </c>
      <c r="F101" s="1">
        <v>9.9779999999999998</v>
      </c>
      <c r="G101" s="1">
        <v>0</v>
      </c>
    </row>
    <row r="102" spans="1:7" x14ac:dyDescent="0.3">
      <c r="A102" s="1">
        <v>23031996</v>
      </c>
      <c r="B102" t="s">
        <v>201</v>
      </c>
      <c r="C102" s="3" t="s">
        <v>117</v>
      </c>
      <c r="D102" s="3" t="s">
        <v>235</v>
      </c>
      <c r="E102" s="1" t="s">
        <v>236</v>
      </c>
      <c r="F102" s="1">
        <v>7.0489583333333332</v>
      </c>
      <c r="G102" s="1">
        <v>0</v>
      </c>
    </row>
    <row r="103" spans="1:7" x14ac:dyDescent="0.3">
      <c r="A103" s="1">
        <v>24012476</v>
      </c>
      <c r="B103" t="s">
        <v>202</v>
      </c>
      <c r="C103" s="3" t="s">
        <v>117</v>
      </c>
      <c r="D103" s="3" t="s">
        <v>235</v>
      </c>
      <c r="E103" s="1" t="s">
        <v>236</v>
      </c>
      <c r="F103" s="1">
        <v>6.4936458333333329</v>
      </c>
      <c r="G103" s="1">
        <v>1</v>
      </c>
    </row>
    <row r="104" spans="1:7" x14ac:dyDescent="0.3">
      <c r="A104" s="1">
        <v>24012477</v>
      </c>
      <c r="B104" t="s">
        <v>203</v>
      </c>
      <c r="C104" s="3" t="s">
        <v>117</v>
      </c>
      <c r="D104" s="3" t="s">
        <v>235</v>
      </c>
      <c r="E104" s="1" t="s">
        <v>236</v>
      </c>
      <c r="F104" s="1">
        <v>7.0055208333333336</v>
      </c>
      <c r="G104" s="1">
        <v>0</v>
      </c>
    </row>
    <row r="105" spans="1:7" x14ac:dyDescent="0.3">
      <c r="A105" s="1">
        <v>24012796</v>
      </c>
      <c r="B105" t="s">
        <v>204</v>
      </c>
      <c r="C105" s="3" t="s">
        <v>117</v>
      </c>
      <c r="D105" s="3" t="s">
        <v>235</v>
      </c>
      <c r="E105" s="1" t="s">
        <v>236</v>
      </c>
      <c r="F105" s="1">
        <v>8.9773958333333326</v>
      </c>
      <c r="G105" s="1">
        <v>0</v>
      </c>
    </row>
    <row r="106" spans="1:7" x14ac:dyDescent="0.3">
      <c r="A106" s="1">
        <v>24012425</v>
      </c>
      <c r="B106" t="s">
        <v>205</v>
      </c>
      <c r="C106" s="3" t="s">
        <v>117</v>
      </c>
      <c r="D106" s="3" t="s">
        <v>235</v>
      </c>
      <c r="E106" s="1" t="s">
        <v>236</v>
      </c>
      <c r="F106" s="1">
        <v>10.217500000000001</v>
      </c>
      <c r="G106" s="1">
        <v>0</v>
      </c>
    </row>
    <row r="107" spans="1:7" x14ac:dyDescent="0.3">
      <c r="A107" s="1">
        <v>22031434</v>
      </c>
      <c r="B107" t="s">
        <v>206</v>
      </c>
      <c r="C107" s="3" t="s">
        <v>117</v>
      </c>
      <c r="D107" s="3" t="s">
        <v>235</v>
      </c>
      <c r="E107" s="1" t="s">
        <v>236</v>
      </c>
      <c r="F107" s="1">
        <v>6.526979166666667</v>
      </c>
      <c r="G107" s="1">
        <v>2</v>
      </c>
    </row>
    <row r="108" spans="1:7" x14ac:dyDescent="0.3">
      <c r="A108" s="1">
        <v>23032228</v>
      </c>
      <c r="B108" t="s">
        <v>207</v>
      </c>
      <c r="C108" s="3" t="s">
        <v>117</v>
      </c>
      <c r="D108" s="3" t="s">
        <v>235</v>
      </c>
      <c r="E108" s="1" t="s">
        <v>236</v>
      </c>
      <c r="F108" s="1">
        <v>8.0083333333333329</v>
      </c>
      <c r="G108" s="1">
        <v>0</v>
      </c>
    </row>
    <row r="109" spans="1:7" x14ac:dyDescent="0.3">
      <c r="A109" s="1">
        <v>24012426</v>
      </c>
      <c r="B109" t="s">
        <v>208</v>
      </c>
      <c r="C109" s="3" t="s">
        <v>117</v>
      </c>
      <c r="D109" s="3" t="s">
        <v>235</v>
      </c>
      <c r="E109" s="1" t="s">
        <v>236</v>
      </c>
      <c r="F109" s="1">
        <v>8.5080208333333331</v>
      </c>
      <c r="G109" s="1">
        <v>0</v>
      </c>
    </row>
    <row r="110" spans="1:7" x14ac:dyDescent="0.3">
      <c r="A110" s="1">
        <v>22031308</v>
      </c>
      <c r="B110" t="s">
        <v>130</v>
      </c>
      <c r="C110" s="3" t="s">
        <v>118</v>
      </c>
      <c r="D110" s="3" t="s">
        <v>235</v>
      </c>
      <c r="E110" s="1" t="s">
        <v>236</v>
      </c>
      <c r="F110" s="1">
        <v>6.5158333333333331</v>
      </c>
      <c r="G110" s="1">
        <v>2</v>
      </c>
    </row>
    <row r="111" spans="1:7" x14ac:dyDescent="0.3">
      <c r="A111" s="1">
        <v>24012731</v>
      </c>
      <c r="B111" t="s">
        <v>209</v>
      </c>
      <c r="C111" s="3" t="s">
        <v>118</v>
      </c>
      <c r="D111" s="3" t="s">
        <v>235</v>
      </c>
      <c r="E111" s="1" t="s">
        <v>236</v>
      </c>
      <c r="F111" s="1">
        <v>9.493645833333332</v>
      </c>
      <c r="G111" s="1">
        <v>0</v>
      </c>
    </row>
    <row r="112" spans="1:7" x14ac:dyDescent="0.3">
      <c r="A112" s="1">
        <v>24012786</v>
      </c>
      <c r="B112" t="s">
        <v>210</v>
      </c>
      <c r="C112" s="3" t="s">
        <v>118</v>
      </c>
      <c r="D112" s="3" t="s">
        <v>235</v>
      </c>
      <c r="E112" s="1" t="s">
        <v>236</v>
      </c>
      <c r="F112" s="1">
        <v>10.450937499999998</v>
      </c>
      <c r="G112" s="1">
        <v>0</v>
      </c>
    </row>
    <row r="113" spans="1:7" x14ac:dyDescent="0.3">
      <c r="A113" s="1">
        <v>23032703</v>
      </c>
      <c r="B113" t="s">
        <v>211</v>
      </c>
      <c r="C113" s="3" t="s">
        <v>117</v>
      </c>
      <c r="D113" s="3" t="s">
        <v>235</v>
      </c>
      <c r="E113" s="1" t="s">
        <v>236</v>
      </c>
      <c r="F113" s="1">
        <v>5.0294791666666665</v>
      </c>
      <c r="G113" s="1">
        <v>5</v>
      </c>
    </row>
    <row r="114" spans="1:7" x14ac:dyDescent="0.3">
      <c r="A114" s="1">
        <v>24012752</v>
      </c>
      <c r="B114" t="s">
        <v>212</v>
      </c>
      <c r="C114" s="3" t="s">
        <v>117</v>
      </c>
      <c r="D114" s="3" t="s">
        <v>235</v>
      </c>
      <c r="E114" s="1" t="s">
        <v>236</v>
      </c>
      <c r="F114" s="1">
        <v>9.7942708333333321</v>
      </c>
      <c r="G114" s="1">
        <v>0</v>
      </c>
    </row>
    <row r="115" spans="1:7" x14ac:dyDescent="0.3">
      <c r="A115" s="1">
        <v>24012788</v>
      </c>
      <c r="B115" t="s">
        <v>213</v>
      </c>
      <c r="C115" s="3" t="s">
        <v>118</v>
      </c>
      <c r="D115" s="3" t="s">
        <v>235</v>
      </c>
      <c r="E115" s="1" t="s">
        <v>236</v>
      </c>
      <c r="F115" s="1">
        <v>10.008333333333335</v>
      </c>
      <c r="G115" s="1">
        <v>1</v>
      </c>
    </row>
    <row r="116" spans="1:7" x14ac:dyDescent="0.3">
      <c r="A116" s="1">
        <v>24012410</v>
      </c>
      <c r="B116" t="s">
        <v>214</v>
      </c>
      <c r="C116" s="3" t="s">
        <v>118</v>
      </c>
      <c r="D116" s="3" t="s">
        <v>235</v>
      </c>
      <c r="E116" s="1" t="s">
        <v>236</v>
      </c>
      <c r="F116" s="1">
        <v>9.58</v>
      </c>
      <c r="G116" s="1">
        <v>1</v>
      </c>
    </row>
    <row r="117" spans="1:7" x14ac:dyDescent="0.3">
      <c r="A117" s="1">
        <v>24012458</v>
      </c>
      <c r="B117" t="s">
        <v>215</v>
      </c>
      <c r="C117" s="3" t="s">
        <v>118</v>
      </c>
      <c r="D117" s="3" t="s">
        <v>235</v>
      </c>
      <c r="E117" s="1" t="s">
        <v>236</v>
      </c>
      <c r="F117" s="1">
        <v>6.4576041666666661</v>
      </c>
      <c r="G117" s="1">
        <v>3</v>
      </c>
    </row>
    <row r="118" spans="1:7" x14ac:dyDescent="0.3">
      <c r="A118" s="1">
        <v>23032714</v>
      </c>
      <c r="B118" t="s">
        <v>216</v>
      </c>
      <c r="C118" s="3" t="s">
        <v>117</v>
      </c>
      <c r="D118" s="3" t="s">
        <v>235</v>
      </c>
      <c r="E118" s="1" t="s">
        <v>236</v>
      </c>
      <c r="F118" s="1">
        <v>5.0108333333333341</v>
      </c>
      <c r="G118" s="1">
        <v>5</v>
      </c>
    </row>
    <row r="119" spans="1:7" x14ac:dyDescent="0.3">
      <c r="A119" s="1">
        <v>24012783</v>
      </c>
      <c r="B119" t="s">
        <v>217</v>
      </c>
      <c r="C119" s="3" t="s">
        <v>118</v>
      </c>
      <c r="D119" s="3" t="s">
        <v>235</v>
      </c>
      <c r="E119" s="1" t="s">
        <v>236</v>
      </c>
      <c r="F119" s="1">
        <v>7.4530208333333325</v>
      </c>
      <c r="G119" s="1">
        <v>1</v>
      </c>
    </row>
    <row r="120" spans="1:7" x14ac:dyDescent="0.3">
      <c r="A120" s="1">
        <v>22031505</v>
      </c>
      <c r="B120" t="s">
        <v>140</v>
      </c>
      <c r="C120" s="3" t="s">
        <v>117</v>
      </c>
      <c r="D120" s="3" t="s">
        <v>235</v>
      </c>
      <c r="E120" s="1" t="s">
        <v>236</v>
      </c>
      <c r="F120" s="1">
        <v>7.0036458333333327</v>
      </c>
      <c r="G120" s="1">
        <v>2</v>
      </c>
    </row>
    <row r="121" spans="1:7" x14ac:dyDescent="0.3">
      <c r="A121" s="1">
        <v>24012413</v>
      </c>
      <c r="B121" t="s">
        <v>218</v>
      </c>
      <c r="C121" s="3" t="s">
        <v>118</v>
      </c>
      <c r="D121" s="3" t="s">
        <v>235</v>
      </c>
      <c r="E121" s="1" t="s">
        <v>236</v>
      </c>
      <c r="F121" s="1">
        <v>10.094895833333332</v>
      </c>
      <c r="G121" s="1">
        <v>0</v>
      </c>
    </row>
    <row r="122" spans="1:7" x14ac:dyDescent="0.3">
      <c r="A122" s="1">
        <v>24012414</v>
      </c>
      <c r="B122" t="s">
        <v>219</v>
      </c>
      <c r="C122" s="3" t="s">
        <v>117</v>
      </c>
      <c r="D122" s="3" t="s">
        <v>235</v>
      </c>
      <c r="E122" s="1" t="s">
        <v>236</v>
      </c>
      <c r="F122" s="1">
        <v>7.0020833333333323</v>
      </c>
      <c r="G122" s="1">
        <v>1</v>
      </c>
    </row>
    <row r="123" spans="1:7" x14ac:dyDescent="0.3">
      <c r="A123" s="1">
        <v>24012454</v>
      </c>
      <c r="B123" t="s">
        <v>220</v>
      </c>
      <c r="C123" s="3" t="s">
        <v>117</v>
      </c>
      <c r="D123" s="3" t="s">
        <v>235</v>
      </c>
      <c r="E123" s="1" t="s">
        <v>236</v>
      </c>
      <c r="F123" s="1">
        <v>9.9958333333333336</v>
      </c>
      <c r="G123" s="1">
        <v>0</v>
      </c>
    </row>
    <row r="124" spans="1:7" x14ac:dyDescent="0.3">
      <c r="A124" s="1">
        <v>24011655</v>
      </c>
      <c r="B124" t="s">
        <v>221</v>
      </c>
      <c r="C124" s="3" t="s">
        <v>117</v>
      </c>
      <c r="D124" s="3" t="s">
        <v>235</v>
      </c>
      <c r="E124" s="1" t="s">
        <v>236</v>
      </c>
      <c r="F124" s="1">
        <v>9.5423958333333321</v>
      </c>
      <c r="G124" s="1">
        <v>1</v>
      </c>
    </row>
    <row r="125" spans="1:7" x14ac:dyDescent="0.3">
      <c r="A125" s="1">
        <v>23032684</v>
      </c>
      <c r="B125" t="s">
        <v>222</v>
      </c>
      <c r="C125" s="3" t="s">
        <v>118</v>
      </c>
      <c r="D125" s="3" t="s">
        <v>235</v>
      </c>
      <c r="E125" s="1" t="s">
        <v>236</v>
      </c>
      <c r="F125" s="1">
        <v>9.5008333333333326</v>
      </c>
      <c r="G125" s="1">
        <v>3</v>
      </c>
    </row>
    <row r="126" spans="1:7" x14ac:dyDescent="0.3">
      <c r="A126" s="1">
        <v>24012739</v>
      </c>
      <c r="B126" t="s">
        <v>223</v>
      </c>
      <c r="C126" s="3" t="s">
        <v>117</v>
      </c>
      <c r="D126" s="3" t="s">
        <v>235</v>
      </c>
      <c r="E126" s="1" t="s">
        <v>236</v>
      </c>
      <c r="F126" s="1">
        <v>10.245208333333332</v>
      </c>
      <c r="G126" s="1">
        <v>0</v>
      </c>
    </row>
    <row r="127" spans="1:7" x14ac:dyDescent="0.3">
      <c r="A127" s="1">
        <v>23032676</v>
      </c>
      <c r="B127" t="s">
        <v>224</v>
      </c>
      <c r="C127" s="3" t="s">
        <v>117</v>
      </c>
      <c r="D127" s="3" t="s">
        <v>235</v>
      </c>
      <c r="E127" s="1" t="s">
        <v>236</v>
      </c>
      <c r="F127" s="1">
        <v>9.4846874999999997</v>
      </c>
      <c r="G127" s="1">
        <v>0</v>
      </c>
    </row>
    <row r="128" spans="1:7" x14ac:dyDescent="0.3">
      <c r="A128" s="1">
        <v>23011879</v>
      </c>
      <c r="B128" t="s">
        <v>225</v>
      </c>
      <c r="C128" s="3" t="s">
        <v>118</v>
      </c>
      <c r="D128" s="3" t="s">
        <v>235</v>
      </c>
      <c r="E128" s="1" t="s">
        <v>236</v>
      </c>
      <c r="F128" s="1">
        <v>8.0136458333333334</v>
      </c>
      <c r="G128" s="1">
        <v>3</v>
      </c>
    </row>
    <row r="129" spans="1:7" x14ac:dyDescent="0.3">
      <c r="A129" s="1">
        <v>24012806</v>
      </c>
      <c r="B129" t="s">
        <v>226</v>
      </c>
      <c r="C129" s="3" t="s">
        <v>118</v>
      </c>
      <c r="D129" s="3" t="s">
        <v>235</v>
      </c>
      <c r="E129" s="1" t="s">
        <v>236</v>
      </c>
      <c r="F129" s="1">
        <v>9.9792708333333344</v>
      </c>
      <c r="G129" s="1">
        <v>0</v>
      </c>
    </row>
    <row r="130" spans="1:7" x14ac:dyDescent="0.3">
      <c r="A130" s="1">
        <v>24012818</v>
      </c>
      <c r="B130" t="s">
        <v>227</v>
      </c>
      <c r="C130" s="3" t="s">
        <v>118</v>
      </c>
      <c r="D130" s="3" t="s">
        <v>235</v>
      </c>
      <c r="E130" s="1" t="s">
        <v>236</v>
      </c>
      <c r="F130" s="1">
        <v>10.751562499999999</v>
      </c>
      <c r="G130" s="1">
        <v>0</v>
      </c>
    </row>
    <row r="131" spans="1:7" x14ac:dyDescent="0.3">
      <c r="A131" s="1">
        <v>24012255</v>
      </c>
      <c r="B131" t="s">
        <v>228</v>
      </c>
      <c r="C131" s="3" t="s">
        <v>118</v>
      </c>
      <c r="D131" s="3" t="s">
        <v>235</v>
      </c>
      <c r="E131" s="1" t="s">
        <v>236</v>
      </c>
      <c r="F131" s="1">
        <v>9.9665624999999984</v>
      </c>
      <c r="G131" s="1">
        <v>0</v>
      </c>
    </row>
    <row r="132" spans="1:7" x14ac:dyDescent="0.3">
      <c r="A132" s="1">
        <v>24012440</v>
      </c>
      <c r="B132" t="s">
        <v>229</v>
      </c>
      <c r="C132" s="3" t="s">
        <v>117</v>
      </c>
      <c r="D132" s="3" t="s">
        <v>235</v>
      </c>
      <c r="E132" s="1" t="s">
        <v>236</v>
      </c>
      <c r="F132" s="1">
        <v>6.5152083333333328</v>
      </c>
      <c r="G132" s="1">
        <v>2</v>
      </c>
    </row>
    <row r="133" spans="1:7" x14ac:dyDescent="0.3">
      <c r="A133" s="1">
        <v>23032425</v>
      </c>
      <c r="B133" t="s">
        <v>230</v>
      </c>
      <c r="C133" s="3" t="s">
        <v>118</v>
      </c>
      <c r="D133" s="3" t="s">
        <v>235</v>
      </c>
      <c r="E133" s="1" t="s">
        <v>236</v>
      </c>
      <c r="F133" s="1">
        <v>9.5008333333333326</v>
      </c>
      <c r="G133" s="1">
        <v>3</v>
      </c>
    </row>
    <row r="134" spans="1:7" x14ac:dyDescent="0.3">
      <c r="A134" s="1">
        <v>23032170</v>
      </c>
      <c r="B134" t="s">
        <v>231</v>
      </c>
      <c r="C134" s="3" t="s">
        <v>117</v>
      </c>
      <c r="D134" s="3" t="s">
        <v>235</v>
      </c>
      <c r="E134" s="1" t="s">
        <v>236</v>
      </c>
      <c r="F134" s="1">
        <v>4.9939583333333326</v>
      </c>
      <c r="G134" s="1">
        <v>4</v>
      </c>
    </row>
    <row r="135" spans="1:7" x14ac:dyDescent="0.3">
      <c r="A135" s="1">
        <v>23032437</v>
      </c>
      <c r="B135" t="s">
        <v>232</v>
      </c>
      <c r="C135" s="3" t="s">
        <v>117</v>
      </c>
      <c r="D135" s="3" t="s">
        <v>235</v>
      </c>
      <c r="E135" s="1" t="s">
        <v>236</v>
      </c>
      <c r="F135" s="1">
        <v>10.021145833333334</v>
      </c>
      <c r="G135" s="1">
        <v>0</v>
      </c>
    </row>
    <row r="136" spans="1:7" x14ac:dyDescent="0.3">
      <c r="A136" s="1">
        <v>24012407</v>
      </c>
      <c r="B136" t="s">
        <v>233</v>
      </c>
      <c r="C136" s="3" t="s">
        <v>118</v>
      </c>
      <c r="D136" s="3" t="s">
        <v>235</v>
      </c>
      <c r="E136" s="1" t="s">
        <v>236</v>
      </c>
      <c r="F136" s="1">
        <v>9.9748958333333331</v>
      </c>
      <c r="G136" s="1">
        <v>1</v>
      </c>
    </row>
    <row r="137" spans="1:7" x14ac:dyDescent="0.3">
      <c r="A137" s="1">
        <v>24012464</v>
      </c>
      <c r="B137" t="s">
        <v>234</v>
      </c>
      <c r="C137" s="3" t="s">
        <v>118</v>
      </c>
      <c r="D137" s="3" t="s">
        <v>235</v>
      </c>
      <c r="E137" s="1" t="s">
        <v>236</v>
      </c>
      <c r="F137" s="1">
        <v>8.4523958333333322</v>
      </c>
      <c r="G137" s="1">
        <v>2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0FA3-A822-4050-A551-7BD14B147410}">
  <dimension ref="A1:G137"/>
  <sheetViews>
    <sheetView topLeftCell="A43" workbookViewId="0">
      <selection activeCell="J75" sqref="J75"/>
    </sheetView>
  </sheetViews>
  <sheetFormatPr baseColWidth="10" defaultRowHeight="14.4" x14ac:dyDescent="0.3"/>
  <cols>
    <col min="1" max="1" width="11.5546875" style="1"/>
    <col min="2" max="2" width="44.21875" bestFit="1" customWidth="1"/>
    <col min="3" max="4" width="11.5546875" style="3"/>
    <col min="6" max="6" width="12.6640625" bestFit="1" customWidth="1"/>
  </cols>
  <sheetData>
    <row r="1" spans="1:7" s="2" customFormat="1" x14ac:dyDescent="0.3">
      <c r="A1" s="2" t="s">
        <v>87</v>
      </c>
      <c r="B1" s="2" t="s">
        <v>88</v>
      </c>
      <c r="C1" s="2" t="s">
        <v>89</v>
      </c>
      <c r="D1" s="2" t="s">
        <v>120</v>
      </c>
      <c r="E1" s="2" t="s">
        <v>91</v>
      </c>
      <c r="F1" s="2" t="s">
        <v>90</v>
      </c>
      <c r="G1" s="2" t="s">
        <v>150</v>
      </c>
    </row>
    <row r="2" spans="1:7" x14ac:dyDescent="0.3">
      <c r="A2" s="1">
        <v>22031083</v>
      </c>
      <c r="B2" t="s">
        <v>122</v>
      </c>
      <c r="C2" s="3" t="s">
        <v>118</v>
      </c>
      <c r="D2" s="1" t="s">
        <v>246</v>
      </c>
      <c r="E2" s="1" t="s">
        <v>248</v>
      </c>
      <c r="F2" s="1">
        <v>8.4943229166666665</v>
      </c>
      <c r="G2" s="1">
        <v>1</v>
      </c>
    </row>
    <row r="3" spans="1:7" x14ac:dyDescent="0.3">
      <c r="A3" s="1">
        <v>22031043</v>
      </c>
      <c r="B3" t="s">
        <v>123</v>
      </c>
      <c r="C3" s="3" t="s">
        <v>118</v>
      </c>
      <c r="D3" s="1" t="s">
        <v>246</v>
      </c>
      <c r="E3" s="1" t="s">
        <v>248</v>
      </c>
      <c r="F3" s="1">
        <v>9.783807291666669</v>
      </c>
      <c r="G3" s="1">
        <v>1</v>
      </c>
    </row>
    <row r="4" spans="1:7" x14ac:dyDescent="0.3">
      <c r="A4" s="1">
        <v>22031330</v>
      </c>
      <c r="B4" t="s">
        <v>238</v>
      </c>
      <c r="C4" s="3" t="s">
        <v>118</v>
      </c>
      <c r="D4" s="1" t="s">
        <v>246</v>
      </c>
      <c r="E4" s="1" t="s">
        <v>248</v>
      </c>
      <c r="F4" s="1">
        <v>10.000864583333332</v>
      </c>
      <c r="G4" s="1">
        <v>2</v>
      </c>
    </row>
    <row r="5" spans="1:7" x14ac:dyDescent="0.3">
      <c r="A5" s="1">
        <v>22030279</v>
      </c>
      <c r="B5" t="s">
        <v>239</v>
      </c>
      <c r="C5" s="3" t="s">
        <v>117</v>
      </c>
      <c r="D5" s="1" t="s">
        <v>246</v>
      </c>
      <c r="E5" s="1" t="s">
        <v>248</v>
      </c>
      <c r="F5" s="1">
        <v>10.017427083333335</v>
      </c>
      <c r="G5" s="1">
        <v>2</v>
      </c>
    </row>
    <row r="6" spans="1:7" x14ac:dyDescent="0.3">
      <c r="A6" s="1">
        <v>22031080</v>
      </c>
      <c r="B6" t="s">
        <v>126</v>
      </c>
      <c r="C6" s="3" t="s">
        <v>117</v>
      </c>
      <c r="D6" s="1" t="s">
        <v>246</v>
      </c>
      <c r="E6" s="1" t="s">
        <v>248</v>
      </c>
      <c r="F6" s="1">
        <v>8.7939687500000012</v>
      </c>
      <c r="G6" s="1">
        <v>0</v>
      </c>
    </row>
    <row r="7" spans="1:7" x14ac:dyDescent="0.3">
      <c r="A7" s="1">
        <v>22030924</v>
      </c>
      <c r="B7" t="s">
        <v>127</v>
      </c>
      <c r="C7" s="3" t="s">
        <v>117</v>
      </c>
      <c r="D7" s="1" t="s">
        <v>246</v>
      </c>
      <c r="E7" s="1" t="s">
        <v>248</v>
      </c>
      <c r="F7" s="1">
        <v>8.9804843749999996</v>
      </c>
      <c r="G7" s="1">
        <v>3</v>
      </c>
    </row>
    <row r="8" spans="1:7" x14ac:dyDescent="0.3">
      <c r="A8" s="1">
        <v>22031060</v>
      </c>
      <c r="B8" t="s">
        <v>128</v>
      </c>
      <c r="C8" s="3" t="s">
        <v>117</v>
      </c>
      <c r="D8" s="1" t="s">
        <v>246</v>
      </c>
      <c r="E8" s="1" t="s">
        <v>248</v>
      </c>
      <c r="F8" s="1">
        <v>7.7565625000000011</v>
      </c>
      <c r="G8" s="1">
        <v>0</v>
      </c>
    </row>
    <row r="9" spans="1:7" x14ac:dyDescent="0.3">
      <c r="A9" s="1">
        <v>22031116</v>
      </c>
      <c r="B9" t="s">
        <v>129</v>
      </c>
      <c r="C9" s="3" t="s">
        <v>117</v>
      </c>
      <c r="D9" s="1" t="s">
        <v>246</v>
      </c>
      <c r="E9" s="1" t="s">
        <v>248</v>
      </c>
      <c r="F9" s="1">
        <v>8.4820312500000004</v>
      </c>
      <c r="G9" s="1">
        <v>0</v>
      </c>
    </row>
    <row r="10" spans="1:7" x14ac:dyDescent="0.3">
      <c r="A10" s="1">
        <v>22031308</v>
      </c>
      <c r="B10" t="s">
        <v>240</v>
      </c>
      <c r="C10" s="3" t="s">
        <v>118</v>
      </c>
      <c r="D10" s="1" t="s">
        <v>246</v>
      </c>
      <c r="E10" s="1" t="s">
        <v>248</v>
      </c>
      <c r="F10" s="1">
        <v>8.0253697916666678</v>
      </c>
      <c r="G10" s="1">
        <v>1</v>
      </c>
    </row>
    <row r="11" spans="1:7" x14ac:dyDescent="0.3">
      <c r="A11" s="1">
        <v>22031728</v>
      </c>
      <c r="B11" t="s">
        <v>131</v>
      </c>
      <c r="C11" s="3" t="s">
        <v>117</v>
      </c>
      <c r="D11" s="1" t="s">
        <v>246</v>
      </c>
      <c r="E11" s="1" t="s">
        <v>248</v>
      </c>
      <c r="F11" s="1">
        <v>8.751822916666665</v>
      </c>
      <c r="G11" s="1">
        <v>1</v>
      </c>
    </row>
    <row r="12" spans="1:7" x14ac:dyDescent="0.3">
      <c r="A12" s="1">
        <v>22031445</v>
      </c>
      <c r="B12" t="s">
        <v>132</v>
      </c>
      <c r="C12" s="3" t="s">
        <v>117</v>
      </c>
      <c r="D12" s="1" t="s">
        <v>246</v>
      </c>
      <c r="E12" s="1" t="s">
        <v>248</v>
      </c>
      <c r="F12" s="1">
        <v>7.471895833333333</v>
      </c>
      <c r="G12" s="1">
        <v>2</v>
      </c>
    </row>
    <row r="13" spans="1:7" x14ac:dyDescent="0.3">
      <c r="A13" s="1">
        <v>22031422</v>
      </c>
      <c r="B13" t="s">
        <v>133</v>
      </c>
      <c r="C13" s="3" t="s">
        <v>117</v>
      </c>
      <c r="D13" s="1" t="s">
        <v>246</v>
      </c>
      <c r="E13" s="1" t="s">
        <v>248</v>
      </c>
      <c r="F13" s="1">
        <v>9.4625000000000004</v>
      </c>
      <c r="G13" s="1">
        <v>0</v>
      </c>
    </row>
    <row r="14" spans="1:7" x14ac:dyDescent="0.3">
      <c r="A14" s="1">
        <v>22031519</v>
      </c>
      <c r="B14" t="s">
        <v>241</v>
      </c>
      <c r="C14" s="3" t="s">
        <v>117</v>
      </c>
      <c r="D14" s="1" t="s">
        <v>246</v>
      </c>
      <c r="E14" s="1" t="s">
        <v>248</v>
      </c>
      <c r="F14" s="1">
        <v>8.2805781249999999</v>
      </c>
      <c r="G14" s="1">
        <v>0</v>
      </c>
    </row>
    <row r="15" spans="1:7" x14ac:dyDescent="0.3">
      <c r="A15" s="1">
        <v>22031616</v>
      </c>
      <c r="B15" t="s">
        <v>242</v>
      </c>
      <c r="C15" s="3" t="s">
        <v>117</v>
      </c>
      <c r="D15" s="1" t="s">
        <v>246</v>
      </c>
      <c r="E15" s="1" t="s">
        <v>248</v>
      </c>
      <c r="F15" s="1">
        <v>6.6224322916666667</v>
      </c>
      <c r="G15" s="1">
        <v>1</v>
      </c>
    </row>
    <row r="16" spans="1:7" x14ac:dyDescent="0.3">
      <c r="A16" s="1">
        <v>22031705</v>
      </c>
      <c r="B16" t="s">
        <v>137</v>
      </c>
      <c r="C16" s="3" t="s">
        <v>118</v>
      </c>
      <c r="D16" s="1" t="s">
        <v>246</v>
      </c>
      <c r="E16" s="1" t="s">
        <v>248</v>
      </c>
      <c r="F16" s="1">
        <v>7.9913281250000008</v>
      </c>
      <c r="G16" s="1">
        <v>0</v>
      </c>
    </row>
    <row r="17" spans="1:7" x14ac:dyDescent="0.3">
      <c r="A17" s="1">
        <v>22030890</v>
      </c>
      <c r="B17" t="s">
        <v>139</v>
      </c>
      <c r="C17" s="3" t="s">
        <v>117</v>
      </c>
      <c r="D17" s="1" t="s">
        <v>246</v>
      </c>
      <c r="E17" s="1" t="s">
        <v>248</v>
      </c>
      <c r="F17" s="1">
        <v>8.2558125000000011</v>
      </c>
      <c r="G17" s="1">
        <v>0</v>
      </c>
    </row>
    <row r="18" spans="1:7" x14ac:dyDescent="0.3">
      <c r="A18" s="1">
        <v>22031505</v>
      </c>
      <c r="B18" t="s">
        <v>140</v>
      </c>
      <c r="C18" s="3" t="s">
        <v>117</v>
      </c>
      <c r="D18" s="1" t="s">
        <v>246</v>
      </c>
      <c r="E18" s="1" t="s">
        <v>248</v>
      </c>
      <c r="F18" s="1">
        <v>8.484010416666667</v>
      </c>
      <c r="G18" s="1">
        <v>1</v>
      </c>
    </row>
    <row r="19" spans="1:7" x14ac:dyDescent="0.3">
      <c r="A19" s="1">
        <v>22031107</v>
      </c>
      <c r="B19" t="s">
        <v>141</v>
      </c>
      <c r="C19" s="3" t="s">
        <v>117</v>
      </c>
      <c r="D19" s="1" t="s">
        <v>246</v>
      </c>
      <c r="E19" s="1" t="s">
        <v>248</v>
      </c>
      <c r="F19" s="1">
        <v>8.2493072916666677</v>
      </c>
      <c r="G19" s="1">
        <v>1</v>
      </c>
    </row>
    <row r="20" spans="1:7" x14ac:dyDescent="0.3">
      <c r="A20" s="1">
        <v>22031349</v>
      </c>
      <c r="B20" t="s">
        <v>142</v>
      </c>
      <c r="C20" s="3" t="s">
        <v>117</v>
      </c>
      <c r="D20" s="1" t="s">
        <v>246</v>
      </c>
      <c r="E20" s="1" t="s">
        <v>248</v>
      </c>
      <c r="F20" s="1">
        <v>8.5410312500000014</v>
      </c>
      <c r="G20" s="1">
        <v>0</v>
      </c>
    </row>
    <row r="21" spans="1:7" x14ac:dyDescent="0.3">
      <c r="A21" s="1">
        <v>22010881</v>
      </c>
      <c r="B21" t="s">
        <v>143</v>
      </c>
      <c r="C21" s="3" t="s">
        <v>117</v>
      </c>
      <c r="D21" s="1" t="s">
        <v>246</v>
      </c>
      <c r="E21" s="1" t="s">
        <v>248</v>
      </c>
      <c r="F21" s="1">
        <v>5.9862031250000003</v>
      </c>
      <c r="G21" s="1">
        <v>3</v>
      </c>
    </row>
    <row r="22" spans="1:7" x14ac:dyDescent="0.3">
      <c r="A22" s="1">
        <v>22031249</v>
      </c>
      <c r="B22" t="s">
        <v>243</v>
      </c>
      <c r="C22" s="3" t="s">
        <v>117</v>
      </c>
      <c r="D22" s="1" t="s">
        <v>246</v>
      </c>
      <c r="E22" s="1" t="s">
        <v>248</v>
      </c>
      <c r="F22" s="1">
        <v>5.9825520833333332</v>
      </c>
      <c r="G22" s="1">
        <v>5</v>
      </c>
    </row>
    <row r="23" spans="1:7" x14ac:dyDescent="0.3">
      <c r="A23" s="1">
        <v>22031291</v>
      </c>
      <c r="B23" t="s">
        <v>145</v>
      </c>
      <c r="C23" s="3" t="s">
        <v>117</v>
      </c>
      <c r="D23" s="1" t="s">
        <v>246</v>
      </c>
      <c r="E23" s="1" t="s">
        <v>248</v>
      </c>
      <c r="F23" s="1">
        <v>9.0271041666666676</v>
      </c>
      <c r="G23" s="1">
        <v>1</v>
      </c>
    </row>
    <row r="24" spans="1:7" x14ac:dyDescent="0.3">
      <c r="A24" s="1">
        <v>22030947</v>
      </c>
      <c r="B24" t="s">
        <v>244</v>
      </c>
      <c r="C24" s="3" t="s">
        <v>118</v>
      </c>
      <c r="D24" s="1" t="s">
        <v>246</v>
      </c>
      <c r="E24" s="1" t="s">
        <v>248</v>
      </c>
      <c r="F24" s="1">
        <v>8.7824687499999996</v>
      </c>
      <c r="G24" s="1">
        <v>3</v>
      </c>
    </row>
    <row r="25" spans="1:7" x14ac:dyDescent="0.3">
      <c r="A25" s="1">
        <v>22010730</v>
      </c>
      <c r="B25" t="s">
        <v>245</v>
      </c>
      <c r="C25" s="3" t="s">
        <v>117</v>
      </c>
      <c r="D25" s="1" t="s">
        <v>246</v>
      </c>
      <c r="E25" s="1" t="s">
        <v>248</v>
      </c>
      <c r="F25" s="1">
        <v>5</v>
      </c>
      <c r="G25" s="1">
        <v>20</v>
      </c>
    </row>
    <row r="26" spans="1:7" x14ac:dyDescent="0.3">
      <c r="A26" s="1">
        <v>22031504</v>
      </c>
      <c r="B26" t="s">
        <v>249</v>
      </c>
      <c r="C26" s="3" t="s">
        <v>117</v>
      </c>
      <c r="D26" s="1" t="s">
        <v>247</v>
      </c>
      <c r="E26" s="1" t="s">
        <v>248</v>
      </c>
      <c r="F26" s="1">
        <v>8.7183035714285708</v>
      </c>
      <c r="G26" s="1">
        <v>2</v>
      </c>
    </row>
    <row r="27" spans="1:7" x14ac:dyDescent="0.3">
      <c r="A27" s="1">
        <v>22031389</v>
      </c>
      <c r="B27" t="s">
        <v>179</v>
      </c>
      <c r="C27" s="3" t="s">
        <v>118</v>
      </c>
      <c r="D27" s="1" t="s">
        <v>247</v>
      </c>
      <c r="E27" s="1" t="s">
        <v>248</v>
      </c>
      <c r="F27" s="1">
        <v>8.2522142857142846</v>
      </c>
      <c r="G27" s="1">
        <v>5</v>
      </c>
    </row>
    <row r="28" spans="1:7" x14ac:dyDescent="0.3">
      <c r="A28" s="1">
        <v>22031743</v>
      </c>
      <c r="B28" t="s">
        <v>180</v>
      </c>
      <c r="C28" s="3" t="s">
        <v>118</v>
      </c>
      <c r="D28" s="1" t="s">
        <v>247</v>
      </c>
      <c r="E28" s="1" t="s">
        <v>248</v>
      </c>
      <c r="F28" s="1">
        <v>9.5068750000000009</v>
      </c>
      <c r="G28" s="1">
        <v>0</v>
      </c>
    </row>
    <row r="29" spans="1:7" x14ac:dyDescent="0.3">
      <c r="A29" s="1">
        <v>22031097</v>
      </c>
      <c r="B29" t="s">
        <v>181</v>
      </c>
      <c r="C29" s="3" t="s">
        <v>117</v>
      </c>
      <c r="D29" s="1" t="s">
        <v>247</v>
      </c>
      <c r="E29" s="1" t="s">
        <v>248</v>
      </c>
      <c r="F29" s="1">
        <v>8.9945892857142855</v>
      </c>
      <c r="G29" s="1">
        <v>6</v>
      </c>
    </row>
    <row r="30" spans="1:7" x14ac:dyDescent="0.3">
      <c r="A30" s="1">
        <v>22031479</v>
      </c>
      <c r="B30" t="s">
        <v>182</v>
      </c>
      <c r="C30" s="3" t="s">
        <v>118</v>
      </c>
      <c r="D30" s="1" t="s">
        <v>247</v>
      </c>
      <c r="E30" s="1" t="s">
        <v>248</v>
      </c>
      <c r="F30" s="1">
        <v>9.2831250000000001</v>
      </c>
      <c r="G30" s="1">
        <v>1</v>
      </c>
    </row>
    <row r="31" spans="1:7" x14ac:dyDescent="0.3">
      <c r="A31" s="1">
        <v>22030956</v>
      </c>
      <c r="B31" t="s">
        <v>183</v>
      </c>
      <c r="C31" s="3" t="s">
        <v>118</v>
      </c>
      <c r="D31" s="1" t="s">
        <v>247</v>
      </c>
      <c r="E31" s="1" t="s">
        <v>248</v>
      </c>
      <c r="F31" s="1">
        <v>9.2600000000000016</v>
      </c>
      <c r="G31" s="1">
        <v>0</v>
      </c>
    </row>
    <row r="32" spans="1:7" x14ac:dyDescent="0.3">
      <c r="A32" s="1">
        <v>22030968</v>
      </c>
      <c r="B32" t="s">
        <v>184</v>
      </c>
      <c r="C32" s="3" t="s">
        <v>118</v>
      </c>
      <c r="D32" s="1" t="s">
        <v>247</v>
      </c>
      <c r="E32" s="1" t="s">
        <v>248</v>
      </c>
      <c r="F32" s="1">
        <v>8.244625000000001</v>
      </c>
      <c r="G32" s="1">
        <v>1</v>
      </c>
    </row>
    <row r="33" spans="1:7" x14ac:dyDescent="0.3">
      <c r="A33" s="1">
        <v>22031417</v>
      </c>
      <c r="B33" t="s">
        <v>250</v>
      </c>
      <c r="C33" s="3" t="s">
        <v>117</v>
      </c>
      <c r="D33" s="1" t="s">
        <v>247</v>
      </c>
      <c r="E33" s="1" t="s">
        <v>248</v>
      </c>
      <c r="F33" s="1">
        <v>8.0285892857142862</v>
      </c>
      <c r="G33" s="1">
        <v>3</v>
      </c>
    </row>
    <row r="34" spans="1:7" x14ac:dyDescent="0.3">
      <c r="A34" s="1">
        <v>22030992</v>
      </c>
      <c r="B34" t="s">
        <v>186</v>
      </c>
      <c r="C34" s="3" t="s">
        <v>118</v>
      </c>
      <c r="D34" s="1" t="s">
        <v>247</v>
      </c>
      <c r="E34" s="1" t="s">
        <v>248</v>
      </c>
      <c r="F34" s="1">
        <v>8.50905357142857</v>
      </c>
      <c r="G34" s="1">
        <v>3</v>
      </c>
    </row>
    <row r="35" spans="1:7" x14ac:dyDescent="0.3">
      <c r="A35" s="1">
        <v>22031046</v>
      </c>
      <c r="B35" t="s">
        <v>251</v>
      </c>
      <c r="C35" s="3" t="s">
        <v>117</v>
      </c>
      <c r="D35" s="1" t="s">
        <v>247</v>
      </c>
      <c r="E35" s="1" t="s">
        <v>248</v>
      </c>
      <c r="F35" s="1">
        <v>8.4709642857142846</v>
      </c>
      <c r="G35" s="1">
        <v>5</v>
      </c>
    </row>
    <row r="36" spans="1:7" x14ac:dyDescent="0.3">
      <c r="A36" s="1">
        <v>21030478</v>
      </c>
      <c r="B36" t="s">
        <v>252</v>
      </c>
      <c r="C36" s="3" t="s">
        <v>117</v>
      </c>
      <c r="D36" s="1" t="s">
        <v>247</v>
      </c>
      <c r="E36" s="1" t="s">
        <v>248</v>
      </c>
      <c r="F36" s="1">
        <v>5.7606250000000001</v>
      </c>
      <c r="G36" s="1">
        <v>9</v>
      </c>
    </row>
    <row r="37" spans="1:7" x14ac:dyDescent="0.3">
      <c r="A37" s="1">
        <v>22031140</v>
      </c>
      <c r="B37" t="s">
        <v>189</v>
      </c>
      <c r="C37" s="3" t="s">
        <v>118</v>
      </c>
      <c r="D37" s="1" t="s">
        <v>247</v>
      </c>
      <c r="E37" s="1" t="s">
        <v>248</v>
      </c>
      <c r="F37" s="1">
        <v>8.5151428571428589</v>
      </c>
      <c r="G37" s="1">
        <v>0</v>
      </c>
    </row>
    <row r="38" spans="1:7" x14ac:dyDescent="0.3">
      <c r="A38" s="1">
        <v>22031126</v>
      </c>
      <c r="B38" t="s">
        <v>191</v>
      </c>
      <c r="C38" s="3" t="s">
        <v>117</v>
      </c>
      <c r="D38" s="1" t="s">
        <v>247</v>
      </c>
      <c r="E38" s="1" t="s">
        <v>248</v>
      </c>
      <c r="F38" s="1">
        <v>6.2580535714285723</v>
      </c>
      <c r="G38" s="1">
        <v>9</v>
      </c>
    </row>
    <row r="39" spans="1:7" x14ac:dyDescent="0.3">
      <c r="A39" s="1">
        <v>22031359</v>
      </c>
      <c r="B39" t="s">
        <v>192</v>
      </c>
      <c r="C39" s="3" t="s">
        <v>117</v>
      </c>
      <c r="D39" s="1" t="s">
        <v>247</v>
      </c>
      <c r="E39" s="1" t="s">
        <v>248</v>
      </c>
      <c r="F39" s="1">
        <v>8.4975714285714297</v>
      </c>
      <c r="G39" s="1">
        <v>0</v>
      </c>
    </row>
    <row r="40" spans="1:7" x14ac:dyDescent="0.3">
      <c r="A40" s="1">
        <v>22031088</v>
      </c>
      <c r="B40" t="s">
        <v>194</v>
      </c>
      <c r="C40" s="3" t="s">
        <v>117</v>
      </c>
      <c r="D40" s="1" t="s">
        <v>247</v>
      </c>
      <c r="E40" s="1" t="s">
        <v>248</v>
      </c>
      <c r="F40" s="1">
        <v>10.030839285714286</v>
      </c>
      <c r="G40" s="1">
        <v>1</v>
      </c>
    </row>
    <row r="41" spans="1:7" x14ac:dyDescent="0.3">
      <c r="A41" s="1">
        <v>22031217</v>
      </c>
      <c r="B41" t="s">
        <v>253</v>
      </c>
      <c r="C41" s="3" t="s">
        <v>118</v>
      </c>
      <c r="D41" s="1" t="s">
        <v>247</v>
      </c>
      <c r="E41" s="1" t="s">
        <v>248</v>
      </c>
      <c r="F41" s="1">
        <v>9.5028749999999995</v>
      </c>
      <c r="G41" s="1">
        <v>0</v>
      </c>
    </row>
    <row r="42" spans="1:7" x14ac:dyDescent="0.3">
      <c r="A42" s="1">
        <v>22031302</v>
      </c>
      <c r="B42" t="s">
        <v>254</v>
      </c>
      <c r="C42" s="3" t="s">
        <v>117</v>
      </c>
      <c r="D42" s="1" t="s">
        <v>247</v>
      </c>
      <c r="E42" s="1" t="s">
        <v>248</v>
      </c>
      <c r="F42" s="1">
        <v>8.9700000000000006</v>
      </c>
      <c r="G42" s="1">
        <v>0</v>
      </c>
    </row>
    <row r="43" spans="1:7" x14ac:dyDescent="0.3">
      <c r="A43" s="1">
        <v>22031702</v>
      </c>
      <c r="B43" t="s">
        <v>255</v>
      </c>
      <c r="C43" s="3" t="s">
        <v>118</v>
      </c>
      <c r="D43" s="1" t="s">
        <v>247</v>
      </c>
      <c r="E43" s="1" t="s">
        <v>248</v>
      </c>
      <c r="F43" s="1">
        <v>7.5189642857142864</v>
      </c>
      <c r="G43" s="1">
        <v>5</v>
      </c>
    </row>
    <row r="44" spans="1:7" x14ac:dyDescent="0.3">
      <c r="A44" s="1">
        <v>22031711</v>
      </c>
      <c r="B44" t="s">
        <v>198</v>
      </c>
      <c r="C44" s="3" t="s">
        <v>117</v>
      </c>
      <c r="D44" s="1" t="s">
        <v>247</v>
      </c>
      <c r="E44" s="1" t="s">
        <v>248</v>
      </c>
      <c r="F44" s="1">
        <v>9.4655000000000005</v>
      </c>
      <c r="G44" s="1">
        <v>0</v>
      </c>
    </row>
    <row r="45" spans="1:7" x14ac:dyDescent="0.3">
      <c r="A45" s="1">
        <v>22031666</v>
      </c>
      <c r="B45" t="s">
        <v>199</v>
      </c>
      <c r="C45" s="3" t="s">
        <v>117</v>
      </c>
      <c r="D45" s="1" t="s">
        <v>247</v>
      </c>
      <c r="E45" s="1" t="s">
        <v>248</v>
      </c>
      <c r="F45" s="1">
        <v>7.5312857142857137</v>
      </c>
      <c r="G45" s="1">
        <v>0</v>
      </c>
    </row>
    <row r="46" spans="1:7" x14ac:dyDescent="0.3">
      <c r="A46" s="1">
        <v>22031520</v>
      </c>
      <c r="B46" t="s">
        <v>200</v>
      </c>
      <c r="C46" s="3" t="s">
        <v>118</v>
      </c>
      <c r="D46" s="1" t="s">
        <v>247</v>
      </c>
      <c r="E46" s="1" t="s">
        <v>248</v>
      </c>
      <c r="F46" s="1">
        <v>10.025375</v>
      </c>
      <c r="G46" s="1">
        <v>0</v>
      </c>
    </row>
    <row r="47" spans="1:7" x14ac:dyDescent="0.3">
      <c r="A47" s="1">
        <v>22031186</v>
      </c>
      <c r="B47" t="s">
        <v>256</v>
      </c>
      <c r="C47" s="3" t="s">
        <v>117</v>
      </c>
      <c r="D47" s="1" t="s">
        <v>271</v>
      </c>
      <c r="E47" s="1" t="s">
        <v>272</v>
      </c>
      <c r="F47" s="1">
        <v>9.9830208333333346</v>
      </c>
      <c r="G47" s="1">
        <v>2</v>
      </c>
    </row>
    <row r="48" spans="1:7" x14ac:dyDescent="0.3">
      <c r="A48" s="1">
        <v>22031622</v>
      </c>
      <c r="B48" t="s">
        <v>257</v>
      </c>
      <c r="C48" s="3" t="s">
        <v>117</v>
      </c>
      <c r="D48" s="1" t="s">
        <v>271</v>
      </c>
      <c r="E48" s="1" t="s">
        <v>272</v>
      </c>
      <c r="F48" s="1">
        <v>9.5317083333333343</v>
      </c>
      <c r="G48" s="1">
        <v>0</v>
      </c>
    </row>
    <row r="49" spans="1:7" x14ac:dyDescent="0.3">
      <c r="A49" s="1">
        <v>22030976</v>
      </c>
      <c r="B49" t="s">
        <v>152</v>
      </c>
      <c r="C49" s="3" t="s">
        <v>117</v>
      </c>
      <c r="D49" s="1" t="s">
        <v>271</v>
      </c>
      <c r="E49" s="1" t="s">
        <v>272</v>
      </c>
      <c r="F49" s="1">
        <v>7.7275</v>
      </c>
      <c r="G49" s="1">
        <v>7</v>
      </c>
    </row>
    <row r="50" spans="1:7" x14ac:dyDescent="0.3">
      <c r="A50" s="1">
        <v>22031478</v>
      </c>
      <c r="B50" t="s">
        <v>153</v>
      </c>
      <c r="C50" s="3" t="s">
        <v>118</v>
      </c>
      <c r="D50" s="1" t="s">
        <v>271</v>
      </c>
      <c r="E50" s="1" t="s">
        <v>272</v>
      </c>
      <c r="F50" s="1">
        <v>9.0006249999999994</v>
      </c>
      <c r="G50" s="1">
        <v>6</v>
      </c>
    </row>
    <row r="51" spans="1:7" x14ac:dyDescent="0.3">
      <c r="A51" s="1">
        <v>22031434</v>
      </c>
      <c r="B51" t="s">
        <v>258</v>
      </c>
      <c r="C51" s="3" t="s">
        <v>117</v>
      </c>
      <c r="D51" s="1" t="s">
        <v>271</v>
      </c>
      <c r="E51" s="1" t="s">
        <v>272</v>
      </c>
      <c r="F51" s="1">
        <v>9.4797291666666652</v>
      </c>
      <c r="G51" s="1">
        <v>0</v>
      </c>
    </row>
    <row r="52" spans="1:7" x14ac:dyDescent="0.3">
      <c r="A52" s="1">
        <v>22031664</v>
      </c>
      <c r="B52" t="s">
        <v>155</v>
      </c>
      <c r="C52" s="3" t="s">
        <v>118</v>
      </c>
      <c r="D52" s="1" t="s">
        <v>271</v>
      </c>
      <c r="E52" s="1" t="s">
        <v>272</v>
      </c>
      <c r="F52" s="1">
        <v>7.2289374999999989</v>
      </c>
      <c r="G52" s="1">
        <v>8</v>
      </c>
    </row>
    <row r="53" spans="1:7" x14ac:dyDescent="0.3">
      <c r="A53" s="1">
        <v>21030499</v>
      </c>
      <c r="B53" t="s">
        <v>259</v>
      </c>
      <c r="C53" s="3" t="s">
        <v>117</v>
      </c>
      <c r="D53" s="1" t="s">
        <v>271</v>
      </c>
      <c r="E53" s="1" t="s">
        <v>272</v>
      </c>
      <c r="F53" s="1">
        <v>5.7406354166666667</v>
      </c>
      <c r="G53" s="1">
        <v>5</v>
      </c>
    </row>
    <row r="54" spans="1:7" x14ac:dyDescent="0.3">
      <c r="A54" s="1">
        <v>22031613</v>
      </c>
      <c r="B54" t="s">
        <v>157</v>
      </c>
      <c r="C54" s="3" t="s">
        <v>117</v>
      </c>
      <c r="D54" s="1" t="s">
        <v>271</v>
      </c>
      <c r="E54" s="1" t="s">
        <v>272</v>
      </c>
      <c r="F54" s="1">
        <v>9.0193541666666661</v>
      </c>
      <c r="G54" s="1">
        <v>2</v>
      </c>
    </row>
    <row r="55" spans="1:7" x14ac:dyDescent="0.3">
      <c r="A55" s="1">
        <v>22031627</v>
      </c>
      <c r="B55" t="s">
        <v>260</v>
      </c>
      <c r="C55" s="3" t="s">
        <v>117</v>
      </c>
      <c r="D55" s="1" t="s">
        <v>271</v>
      </c>
      <c r="E55" s="1" t="s">
        <v>272</v>
      </c>
      <c r="F55" s="1">
        <v>8.9623437499999987</v>
      </c>
      <c r="G55" s="1">
        <v>1</v>
      </c>
    </row>
    <row r="56" spans="1:7" x14ac:dyDescent="0.3">
      <c r="A56" s="1">
        <v>22031421</v>
      </c>
      <c r="B56" t="s">
        <v>261</v>
      </c>
      <c r="C56" s="3" t="s">
        <v>117</v>
      </c>
      <c r="D56" s="1" t="s">
        <v>271</v>
      </c>
      <c r="E56" s="1" t="s">
        <v>272</v>
      </c>
      <c r="F56" s="1">
        <v>5.4889583333333327</v>
      </c>
      <c r="G56" s="1">
        <v>14</v>
      </c>
    </row>
    <row r="57" spans="1:7" x14ac:dyDescent="0.3">
      <c r="A57" s="1">
        <v>23032663</v>
      </c>
      <c r="B57" t="s">
        <v>262</v>
      </c>
      <c r="C57" s="3" t="s">
        <v>117</v>
      </c>
      <c r="D57" s="1" t="s">
        <v>271</v>
      </c>
      <c r="E57" s="1" t="s">
        <v>272</v>
      </c>
      <c r="F57" s="1">
        <v>9.2573958333333337</v>
      </c>
      <c r="G57" s="1">
        <v>7</v>
      </c>
    </row>
    <row r="58" spans="1:7" x14ac:dyDescent="0.3">
      <c r="A58" s="1">
        <v>22031607</v>
      </c>
      <c r="B58" t="s">
        <v>161</v>
      </c>
      <c r="C58" s="3" t="s">
        <v>117</v>
      </c>
      <c r="D58" s="1" t="s">
        <v>271</v>
      </c>
      <c r="E58" s="1" t="s">
        <v>272</v>
      </c>
      <c r="F58" s="1">
        <v>9.2796874999999996</v>
      </c>
      <c r="G58" s="1">
        <v>5</v>
      </c>
    </row>
    <row r="59" spans="1:7" x14ac:dyDescent="0.3">
      <c r="A59" s="1">
        <v>22030006</v>
      </c>
      <c r="B59" t="s">
        <v>162</v>
      </c>
      <c r="C59" s="3" t="s">
        <v>117</v>
      </c>
      <c r="D59" s="1" t="s">
        <v>271</v>
      </c>
      <c r="E59" s="1" t="s">
        <v>272</v>
      </c>
      <c r="F59" s="1">
        <v>9.9777187499999993</v>
      </c>
      <c r="G59" s="1">
        <v>2</v>
      </c>
    </row>
    <row r="60" spans="1:7" x14ac:dyDescent="0.3">
      <c r="A60" s="1">
        <v>22031480</v>
      </c>
      <c r="B60" t="s">
        <v>263</v>
      </c>
      <c r="C60" s="3" t="s">
        <v>117</v>
      </c>
      <c r="D60" s="1" t="s">
        <v>271</v>
      </c>
      <c r="E60" s="1" t="s">
        <v>272</v>
      </c>
      <c r="F60" s="1">
        <v>9.006354166666668</v>
      </c>
      <c r="G60" s="1">
        <v>5</v>
      </c>
    </row>
    <row r="61" spans="1:7" x14ac:dyDescent="0.3">
      <c r="A61" s="1">
        <v>22031532</v>
      </c>
      <c r="B61" t="s">
        <v>264</v>
      </c>
      <c r="C61" s="3" t="s">
        <v>117</v>
      </c>
      <c r="D61" s="1" t="s">
        <v>271</v>
      </c>
      <c r="E61" s="1" t="s">
        <v>272</v>
      </c>
      <c r="F61" s="1">
        <v>7.246822916666666</v>
      </c>
      <c r="G61" s="1">
        <v>5</v>
      </c>
    </row>
    <row r="62" spans="1:7" x14ac:dyDescent="0.3">
      <c r="A62" s="1">
        <v>22031589</v>
      </c>
      <c r="B62" t="s">
        <v>165</v>
      </c>
      <c r="C62" s="3" t="s">
        <v>117</v>
      </c>
      <c r="D62" s="1" t="s">
        <v>271</v>
      </c>
      <c r="E62" s="1" t="s">
        <v>272</v>
      </c>
      <c r="F62" s="1">
        <v>6.0083541666666669</v>
      </c>
      <c r="G62" s="1">
        <v>5</v>
      </c>
    </row>
    <row r="63" spans="1:7" x14ac:dyDescent="0.3">
      <c r="A63" s="1">
        <v>22031347</v>
      </c>
      <c r="B63" t="s">
        <v>265</v>
      </c>
      <c r="C63" s="3" t="s">
        <v>118</v>
      </c>
      <c r="D63" s="1" t="s">
        <v>271</v>
      </c>
      <c r="E63" s="1" t="s">
        <v>272</v>
      </c>
      <c r="F63" s="1">
        <v>9.9951249999999998</v>
      </c>
      <c r="G63" s="1">
        <v>0</v>
      </c>
    </row>
    <row r="64" spans="1:7" x14ac:dyDescent="0.3">
      <c r="A64" s="1">
        <v>22031412</v>
      </c>
      <c r="B64" t="s">
        <v>167</v>
      </c>
      <c r="C64" s="3" t="s">
        <v>118</v>
      </c>
      <c r="D64" s="1" t="s">
        <v>271</v>
      </c>
      <c r="E64" s="1" t="s">
        <v>272</v>
      </c>
      <c r="F64" s="1">
        <v>7.2420520833333324</v>
      </c>
      <c r="G64" s="1">
        <v>6</v>
      </c>
    </row>
    <row r="65" spans="1:7" x14ac:dyDescent="0.3">
      <c r="A65" s="1">
        <v>22031327</v>
      </c>
      <c r="B65" t="s">
        <v>266</v>
      </c>
      <c r="C65" s="3" t="s">
        <v>117</v>
      </c>
      <c r="D65" s="1" t="s">
        <v>271</v>
      </c>
      <c r="E65" s="1" t="s">
        <v>272</v>
      </c>
      <c r="F65" s="1">
        <v>9.9790208333333332</v>
      </c>
      <c r="G65" s="1">
        <v>0</v>
      </c>
    </row>
    <row r="66" spans="1:7" x14ac:dyDescent="0.3">
      <c r="A66" s="1">
        <v>22031527</v>
      </c>
      <c r="B66" t="s">
        <v>267</v>
      </c>
      <c r="C66" s="3" t="s">
        <v>117</v>
      </c>
      <c r="D66" s="1" t="s">
        <v>271</v>
      </c>
      <c r="E66" s="1" t="s">
        <v>272</v>
      </c>
      <c r="F66" s="1">
        <v>9.5093645833333333</v>
      </c>
      <c r="G66" s="1">
        <v>1</v>
      </c>
    </row>
    <row r="67" spans="1:7" x14ac:dyDescent="0.3">
      <c r="A67" s="1">
        <v>22031448</v>
      </c>
      <c r="B67" t="s">
        <v>170</v>
      </c>
      <c r="C67" s="3" t="s">
        <v>118</v>
      </c>
      <c r="D67" s="1" t="s">
        <v>271</v>
      </c>
      <c r="E67" s="1" t="s">
        <v>272</v>
      </c>
      <c r="F67" s="1">
        <v>8.4638020833333343</v>
      </c>
      <c r="G67" s="1">
        <v>4</v>
      </c>
    </row>
    <row r="68" spans="1:7" x14ac:dyDescent="0.3">
      <c r="A68" s="1">
        <v>22031690</v>
      </c>
      <c r="B68" t="s">
        <v>171</v>
      </c>
      <c r="C68" s="3" t="s">
        <v>118</v>
      </c>
      <c r="D68" s="1" t="s">
        <v>271</v>
      </c>
      <c r="E68" s="1" t="s">
        <v>272</v>
      </c>
      <c r="F68" s="1">
        <v>7.4617916666666666</v>
      </c>
      <c r="G68" s="1">
        <v>8</v>
      </c>
    </row>
    <row r="69" spans="1:7" x14ac:dyDescent="0.3">
      <c r="A69" s="1">
        <v>22031032</v>
      </c>
      <c r="B69" t="s">
        <v>172</v>
      </c>
      <c r="C69" s="3" t="s">
        <v>118</v>
      </c>
      <c r="D69" s="1" t="s">
        <v>271</v>
      </c>
      <c r="E69" s="1" t="s">
        <v>272</v>
      </c>
      <c r="F69" s="1">
        <v>10.0379375</v>
      </c>
      <c r="G69" s="1">
        <v>0</v>
      </c>
    </row>
    <row r="70" spans="1:7" x14ac:dyDescent="0.3">
      <c r="A70" s="1">
        <v>22031161</v>
      </c>
      <c r="B70" t="s">
        <v>268</v>
      </c>
      <c r="C70" s="3" t="s">
        <v>117</v>
      </c>
      <c r="D70" s="1" t="s">
        <v>271</v>
      </c>
      <c r="E70" s="1" t="s">
        <v>272</v>
      </c>
      <c r="F70" s="1">
        <v>10.009947916666665</v>
      </c>
      <c r="G70" s="1">
        <v>4</v>
      </c>
    </row>
    <row r="71" spans="1:7" x14ac:dyDescent="0.3">
      <c r="A71" s="1">
        <v>22030954</v>
      </c>
      <c r="B71" t="s">
        <v>269</v>
      </c>
      <c r="C71" s="3" t="s">
        <v>118</v>
      </c>
      <c r="D71" s="1" t="s">
        <v>271</v>
      </c>
      <c r="E71" s="1" t="s">
        <v>272</v>
      </c>
      <c r="F71" s="1">
        <v>8.7787604166666675</v>
      </c>
      <c r="G71" s="1">
        <v>1</v>
      </c>
    </row>
    <row r="72" spans="1:7" x14ac:dyDescent="0.3">
      <c r="A72" s="1">
        <v>22030963</v>
      </c>
      <c r="B72" t="s">
        <v>270</v>
      </c>
      <c r="C72" s="3" t="s">
        <v>118</v>
      </c>
      <c r="D72" s="1" t="s">
        <v>271</v>
      </c>
      <c r="E72" s="1" t="s">
        <v>272</v>
      </c>
      <c r="F72" s="1">
        <v>9.984375</v>
      </c>
      <c r="G72" s="1">
        <v>0</v>
      </c>
    </row>
    <row r="73" spans="1:7" x14ac:dyDescent="0.3">
      <c r="A73" s="1">
        <v>23010404</v>
      </c>
      <c r="B73" t="s">
        <v>273</v>
      </c>
      <c r="C73" s="3" t="s">
        <v>117</v>
      </c>
      <c r="D73" s="3" t="s">
        <v>148</v>
      </c>
      <c r="E73" s="1" t="s">
        <v>149</v>
      </c>
      <c r="F73" s="1">
        <v>8.5009722222222219</v>
      </c>
      <c r="G73" s="1">
        <v>0</v>
      </c>
    </row>
    <row r="74" spans="1:7" x14ac:dyDescent="0.3">
      <c r="A74" s="1">
        <v>23011827</v>
      </c>
      <c r="B74" t="s">
        <v>274</v>
      </c>
      <c r="C74" s="3" t="s">
        <v>118</v>
      </c>
      <c r="D74" s="3" t="s">
        <v>148</v>
      </c>
      <c r="E74" s="1" t="s">
        <v>149</v>
      </c>
      <c r="F74" s="1">
        <v>8.7449652777777764</v>
      </c>
      <c r="G74" s="1">
        <v>0</v>
      </c>
    </row>
    <row r="75" spans="1:7" x14ac:dyDescent="0.3">
      <c r="A75" s="1">
        <v>23011892</v>
      </c>
      <c r="B75" t="s">
        <v>275</v>
      </c>
      <c r="C75" s="3" t="s">
        <v>118</v>
      </c>
      <c r="D75" s="3" t="s">
        <v>148</v>
      </c>
      <c r="E75" s="1" t="s">
        <v>149</v>
      </c>
      <c r="F75" s="1">
        <v>8.7215575396825393</v>
      </c>
      <c r="G75" s="1">
        <v>2</v>
      </c>
    </row>
    <row r="76" spans="1:7" x14ac:dyDescent="0.3">
      <c r="A76" s="1">
        <v>23011781</v>
      </c>
      <c r="B76" t="s">
        <v>276</v>
      </c>
      <c r="C76" s="3" t="s">
        <v>117</v>
      </c>
      <c r="D76" s="3" t="s">
        <v>148</v>
      </c>
      <c r="E76" s="1" t="s">
        <v>149</v>
      </c>
      <c r="F76" s="1">
        <v>7.7448263888888889</v>
      </c>
      <c r="G76" s="1">
        <v>0</v>
      </c>
    </row>
    <row r="77" spans="1:7" x14ac:dyDescent="0.3">
      <c r="A77" s="1">
        <v>23011885</v>
      </c>
      <c r="B77" t="s">
        <v>277</v>
      </c>
      <c r="C77" s="3" t="s">
        <v>117</v>
      </c>
      <c r="D77" s="3" t="s">
        <v>148</v>
      </c>
      <c r="E77" s="1" t="s">
        <v>149</v>
      </c>
      <c r="F77" s="1">
        <v>8.2622916666666661</v>
      </c>
      <c r="G77" s="1">
        <v>1</v>
      </c>
    </row>
    <row r="78" spans="1:7" x14ac:dyDescent="0.3">
      <c r="A78" s="1">
        <v>23011828</v>
      </c>
      <c r="B78" t="s">
        <v>97</v>
      </c>
      <c r="C78" s="3" t="s">
        <v>118</v>
      </c>
      <c r="D78" s="3" t="s">
        <v>148</v>
      </c>
      <c r="E78" s="1" t="s">
        <v>149</v>
      </c>
      <c r="F78" s="1">
        <v>9.5022916666666664</v>
      </c>
      <c r="G78" s="1">
        <v>0</v>
      </c>
    </row>
    <row r="79" spans="1:7" x14ac:dyDescent="0.3">
      <c r="A79" s="1">
        <v>23011529</v>
      </c>
      <c r="B79" t="s">
        <v>278</v>
      </c>
      <c r="C79" s="3" t="s">
        <v>117</v>
      </c>
      <c r="D79" s="3" t="s">
        <v>148</v>
      </c>
      <c r="E79" s="1" t="s">
        <v>149</v>
      </c>
      <c r="F79" s="1">
        <v>6.9884970238095239</v>
      </c>
      <c r="G79" s="1">
        <v>4</v>
      </c>
    </row>
    <row r="80" spans="1:7" x14ac:dyDescent="0.3">
      <c r="A80" s="1">
        <v>23011795</v>
      </c>
      <c r="B80" t="s">
        <v>99</v>
      </c>
      <c r="C80" s="3" t="s">
        <v>117</v>
      </c>
      <c r="D80" s="3" t="s">
        <v>148</v>
      </c>
      <c r="E80" s="1" t="s">
        <v>149</v>
      </c>
      <c r="F80" s="1">
        <v>9.4935416666666672</v>
      </c>
      <c r="G80" s="1">
        <v>0</v>
      </c>
    </row>
    <row r="81" spans="1:7" x14ac:dyDescent="0.3">
      <c r="A81" s="1">
        <v>23011839</v>
      </c>
      <c r="B81" t="s">
        <v>279</v>
      </c>
      <c r="C81" s="3" t="s">
        <v>118</v>
      </c>
      <c r="D81" s="3" t="s">
        <v>148</v>
      </c>
      <c r="E81" s="1" t="s">
        <v>149</v>
      </c>
      <c r="F81" s="1">
        <v>8.9875694444444445</v>
      </c>
      <c r="G81" s="1">
        <v>1</v>
      </c>
    </row>
    <row r="82" spans="1:7" x14ac:dyDescent="0.3">
      <c r="A82" s="1">
        <v>23011967</v>
      </c>
      <c r="B82" t="s">
        <v>101</v>
      </c>
      <c r="C82" s="3" t="s">
        <v>117</v>
      </c>
      <c r="D82" s="3" t="s">
        <v>148</v>
      </c>
      <c r="E82" s="1" t="s">
        <v>149</v>
      </c>
      <c r="F82" s="1">
        <v>7.9825347222222218</v>
      </c>
      <c r="G82" s="1">
        <v>1</v>
      </c>
    </row>
    <row r="83" spans="1:7" x14ac:dyDescent="0.3">
      <c r="A83" s="1">
        <v>23011894</v>
      </c>
      <c r="B83" t="s">
        <v>280</v>
      </c>
      <c r="C83" s="3" t="s">
        <v>118</v>
      </c>
      <c r="D83" s="3" t="s">
        <v>148</v>
      </c>
      <c r="E83" s="1" t="s">
        <v>149</v>
      </c>
      <c r="F83" s="1">
        <v>8.512777777777778</v>
      </c>
      <c r="G83" s="1">
        <v>0</v>
      </c>
    </row>
    <row r="84" spans="1:7" x14ac:dyDescent="0.3">
      <c r="A84" s="1">
        <v>23011710</v>
      </c>
      <c r="B84" t="s">
        <v>105</v>
      </c>
      <c r="C84" s="3" t="s">
        <v>117</v>
      </c>
      <c r="D84" s="3" t="s">
        <v>148</v>
      </c>
      <c r="E84" s="1" t="s">
        <v>149</v>
      </c>
      <c r="F84" s="1">
        <v>9.2424305555555542</v>
      </c>
      <c r="G84" s="1">
        <v>0</v>
      </c>
    </row>
    <row r="85" spans="1:7" x14ac:dyDescent="0.3">
      <c r="A85" s="1">
        <v>22031610</v>
      </c>
      <c r="B85" t="s">
        <v>281</v>
      </c>
      <c r="C85" s="3" t="s">
        <v>117</v>
      </c>
      <c r="D85" s="3" t="s">
        <v>148</v>
      </c>
      <c r="E85" s="1" t="s">
        <v>149</v>
      </c>
      <c r="F85" s="1">
        <v>8.2563194444444434</v>
      </c>
      <c r="G85" s="1">
        <v>0</v>
      </c>
    </row>
    <row r="86" spans="1:7" x14ac:dyDescent="0.3">
      <c r="A86" s="1">
        <v>23010916</v>
      </c>
      <c r="B86" t="s">
        <v>106</v>
      </c>
      <c r="C86" s="3" t="s">
        <v>118</v>
      </c>
      <c r="D86" s="3" t="s">
        <v>148</v>
      </c>
      <c r="E86" s="1" t="s">
        <v>149</v>
      </c>
      <c r="F86" s="1">
        <v>9.516319444444445</v>
      </c>
      <c r="G86" s="1">
        <v>1</v>
      </c>
    </row>
    <row r="87" spans="1:7" x14ac:dyDescent="0.3">
      <c r="A87" s="1">
        <v>23011916</v>
      </c>
      <c r="B87" t="s">
        <v>282</v>
      </c>
      <c r="C87" s="3" t="s">
        <v>118</v>
      </c>
      <c r="D87" s="3" t="s">
        <v>148</v>
      </c>
      <c r="E87" s="1" t="s">
        <v>149</v>
      </c>
      <c r="F87" s="1">
        <v>10.006458333333333</v>
      </c>
      <c r="G87" s="1">
        <v>1</v>
      </c>
    </row>
    <row r="88" spans="1:7" x14ac:dyDescent="0.3">
      <c r="A88" s="1">
        <v>22031229</v>
      </c>
      <c r="B88" t="s">
        <v>108</v>
      </c>
      <c r="C88" s="3" t="s">
        <v>118</v>
      </c>
      <c r="D88" s="3" t="s">
        <v>148</v>
      </c>
      <c r="E88" s="1" t="s">
        <v>149</v>
      </c>
      <c r="F88" s="1">
        <v>8.014278769841269</v>
      </c>
      <c r="G88" s="1">
        <v>6</v>
      </c>
    </row>
    <row r="89" spans="1:7" x14ac:dyDescent="0.3">
      <c r="A89" s="1">
        <v>23011831</v>
      </c>
      <c r="B89" t="s">
        <v>283</v>
      </c>
      <c r="C89" s="3" t="s">
        <v>117</v>
      </c>
      <c r="D89" s="3" t="s">
        <v>148</v>
      </c>
      <c r="E89" s="1" t="s">
        <v>149</v>
      </c>
      <c r="F89" s="1">
        <v>8.4789236111111101</v>
      </c>
      <c r="G89" s="1">
        <v>1</v>
      </c>
    </row>
    <row r="90" spans="1:7" x14ac:dyDescent="0.3">
      <c r="A90" s="1">
        <v>22031209</v>
      </c>
      <c r="B90" t="s">
        <v>284</v>
      </c>
      <c r="C90" s="3" t="s">
        <v>118</v>
      </c>
      <c r="D90" s="3" t="s">
        <v>148</v>
      </c>
      <c r="E90" s="1" t="s">
        <v>149</v>
      </c>
      <c r="F90" s="1">
        <v>4.9880357142857141</v>
      </c>
      <c r="G90" s="1">
        <v>7</v>
      </c>
    </row>
    <row r="91" spans="1:7" x14ac:dyDescent="0.3">
      <c r="A91" s="1">
        <v>23011835</v>
      </c>
      <c r="B91" t="s">
        <v>285</v>
      </c>
      <c r="C91" s="3" t="s">
        <v>117</v>
      </c>
      <c r="D91" s="3" t="s">
        <v>148</v>
      </c>
      <c r="E91" s="1" t="s">
        <v>149</v>
      </c>
      <c r="F91" s="1">
        <v>8.480868055555554</v>
      </c>
      <c r="G91" s="1">
        <v>1</v>
      </c>
    </row>
    <row r="92" spans="1:7" x14ac:dyDescent="0.3">
      <c r="A92" s="1">
        <v>23011717</v>
      </c>
      <c r="B92" t="s">
        <v>286</v>
      </c>
      <c r="C92" s="3" t="s">
        <v>118</v>
      </c>
      <c r="D92" s="3" t="s">
        <v>148</v>
      </c>
      <c r="E92" s="1" t="s">
        <v>149</v>
      </c>
      <c r="F92" s="1">
        <v>9.0032242063492074</v>
      </c>
      <c r="G92" s="1">
        <v>1</v>
      </c>
    </row>
    <row r="93" spans="1:7" x14ac:dyDescent="0.3">
      <c r="A93" s="1">
        <v>23011844</v>
      </c>
      <c r="B93" t="s">
        <v>287</v>
      </c>
      <c r="C93" s="3" t="s">
        <v>117</v>
      </c>
      <c r="D93" s="3" t="s">
        <v>148</v>
      </c>
      <c r="E93" s="1" t="s">
        <v>149</v>
      </c>
      <c r="F93" s="1">
        <v>9.9670138888888893</v>
      </c>
      <c r="G93" s="1">
        <v>0</v>
      </c>
    </row>
    <row r="94" spans="1:7" x14ac:dyDescent="0.3">
      <c r="A94" s="1">
        <v>23010935</v>
      </c>
      <c r="B94" t="s">
        <v>288</v>
      </c>
      <c r="C94" s="3" t="s">
        <v>117</v>
      </c>
      <c r="D94" s="3" t="s">
        <v>148</v>
      </c>
      <c r="E94" s="1" t="s">
        <v>149</v>
      </c>
      <c r="F94" s="1">
        <v>9.9672222222222224</v>
      </c>
      <c r="G94" s="1">
        <v>0</v>
      </c>
    </row>
    <row r="95" spans="1:7" x14ac:dyDescent="0.3">
      <c r="A95" s="1">
        <v>22031033</v>
      </c>
      <c r="B95" t="s">
        <v>289</v>
      </c>
      <c r="C95" s="3" t="s">
        <v>118</v>
      </c>
      <c r="D95" s="3" t="s">
        <v>148</v>
      </c>
      <c r="E95" s="1" t="s">
        <v>149</v>
      </c>
      <c r="F95" s="1">
        <v>5.0030952380952378</v>
      </c>
      <c r="G95" s="1">
        <v>12</v>
      </c>
    </row>
    <row r="96" spans="1:7" x14ac:dyDescent="0.3">
      <c r="E96" s="1"/>
      <c r="F96" s="1"/>
      <c r="G96" s="1"/>
    </row>
    <row r="97" spans="5:7" x14ac:dyDescent="0.3">
      <c r="E97" s="1"/>
      <c r="F97" s="1"/>
      <c r="G97" s="1"/>
    </row>
    <row r="98" spans="5:7" x14ac:dyDescent="0.3">
      <c r="E98" s="1"/>
      <c r="F98" s="1"/>
      <c r="G98" s="1"/>
    </row>
    <row r="99" spans="5:7" x14ac:dyDescent="0.3">
      <c r="E99" s="1"/>
      <c r="F99" s="1"/>
      <c r="G99" s="1"/>
    </row>
    <row r="100" spans="5:7" x14ac:dyDescent="0.3">
      <c r="E100" s="1"/>
      <c r="F100" s="1"/>
      <c r="G100" s="1"/>
    </row>
    <row r="101" spans="5:7" x14ac:dyDescent="0.3">
      <c r="E101" s="1"/>
      <c r="F101" s="1"/>
      <c r="G101" s="1"/>
    </row>
    <row r="102" spans="5:7" x14ac:dyDescent="0.3">
      <c r="E102" s="1"/>
      <c r="F102" s="1"/>
      <c r="G102" s="1"/>
    </row>
    <row r="103" spans="5:7" x14ac:dyDescent="0.3">
      <c r="E103" s="1"/>
      <c r="F103" s="1"/>
      <c r="G103" s="1"/>
    </row>
    <row r="104" spans="5:7" x14ac:dyDescent="0.3">
      <c r="E104" s="1"/>
      <c r="F104" s="1"/>
      <c r="G104" s="1"/>
    </row>
    <row r="105" spans="5:7" x14ac:dyDescent="0.3">
      <c r="E105" s="1"/>
      <c r="F105" s="1"/>
      <c r="G105" s="1"/>
    </row>
    <row r="106" spans="5:7" x14ac:dyDescent="0.3">
      <c r="E106" s="1"/>
      <c r="F106" s="1"/>
      <c r="G106" s="1"/>
    </row>
    <row r="107" spans="5:7" x14ac:dyDescent="0.3">
      <c r="E107" s="1"/>
      <c r="F107" s="1"/>
      <c r="G107" s="1"/>
    </row>
    <row r="108" spans="5:7" x14ac:dyDescent="0.3">
      <c r="E108" s="1"/>
      <c r="F108" s="1"/>
      <c r="G108" s="1"/>
    </row>
    <row r="109" spans="5:7" x14ac:dyDescent="0.3">
      <c r="E109" s="1"/>
      <c r="F109" s="1"/>
      <c r="G109" s="1"/>
    </row>
    <row r="110" spans="5:7" x14ac:dyDescent="0.3">
      <c r="E110" s="1"/>
      <c r="F110" s="1"/>
      <c r="G110" s="1"/>
    </row>
    <row r="111" spans="5:7" x14ac:dyDescent="0.3">
      <c r="E111" s="1"/>
      <c r="F111" s="1"/>
      <c r="G111" s="1"/>
    </row>
    <row r="112" spans="5:7" x14ac:dyDescent="0.3">
      <c r="E112" s="1"/>
      <c r="F112" s="1"/>
      <c r="G112" s="1"/>
    </row>
    <row r="113" spans="5:7" x14ac:dyDescent="0.3">
      <c r="E113" s="1"/>
      <c r="F113" s="1"/>
      <c r="G113" s="1"/>
    </row>
    <row r="114" spans="5:7" x14ac:dyDescent="0.3">
      <c r="E114" s="1"/>
      <c r="F114" s="1"/>
      <c r="G114" s="1"/>
    </row>
    <row r="115" spans="5:7" x14ac:dyDescent="0.3">
      <c r="E115" s="1"/>
      <c r="F115" s="1"/>
      <c r="G115" s="1"/>
    </row>
    <row r="116" spans="5:7" x14ac:dyDescent="0.3">
      <c r="E116" s="1"/>
      <c r="F116" s="1"/>
      <c r="G116" s="1"/>
    </row>
    <row r="117" spans="5:7" x14ac:dyDescent="0.3">
      <c r="E117" s="1"/>
      <c r="F117" s="1"/>
      <c r="G117" s="1"/>
    </row>
    <row r="118" spans="5:7" x14ac:dyDescent="0.3">
      <c r="E118" s="1"/>
      <c r="F118" s="1"/>
      <c r="G118" s="1"/>
    </row>
    <row r="119" spans="5:7" x14ac:dyDescent="0.3">
      <c r="E119" s="1"/>
      <c r="F119" s="1"/>
      <c r="G119" s="1"/>
    </row>
    <row r="120" spans="5:7" x14ac:dyDescent="0.3">
      <c r="E120" s="1"/>
      <c r="F120" s="1"/>
      <c r="G120" s="1"/>
    </row>
    <row r="121" spans="5:7" x14ac:dyDescent="0.3">
      <c r="E121" s="1"/>
      <c r="F121" s="1"/>
      <c r="G121" s="1"/>
    </row>
    <row r="122" spans="5:7" x14ac:dyDescent="0.3">
      <c r="E122" s="1"/>
      <c r="F122" s="1"/>
      <c r="G122" s="1"/>
    </row>
    <row r="123" spans="5:7" x14ac:dyDescent="0.3">
      <c r="E123" s="1"/>
      <c r="F123" s="1"/>
      <c r="G123" s="1"/>
    </row>
    <row r="124" spans="5:7" x14ac:dyDescent="0.3">
      <c r="E124" s="1"/>
      <c r="F124" s="1"/>
      <c r="G124" s="1"/>
    </row>
    <row r="125" spans="5:7" x14ac:dyDescent="0.3">
      <c r="E125" s="1"/>
      <c r="F125" s="1"/>
      <c r="G125" s="1"/>
    </row>
    <row r="126" spans="5:7" x14ac:dyDescent="0.3">
      <c r="E126" s="1"/>
      <c r="F126" s="1"/>
      <c r="G126" s="1"/>
    </row>
    <row r="127" spans="5:7" x14ac:dyDescent="0.3">
      <c r="E127" s="1"/>
      <c r="F127" s="1"/>
      <c r="G127" s="1"/>
    </row>
    <row r="128" spans="5:7" x14ac:dyDescent="0.3">
      <c r="E128" s="1"/>
      <c r="F128" s="1"/>
      <c r="G128" s="1"/>
    </row>
    <row r="129" spans="5:7" x14ac:dyDescent="0.3">
      <c r="E129" s="1"/>
      <c r="F129" s="1"/>
      <c r="G129" s="1"/>
    </row>
    <row r="130" spans="5:7" x14ac:dyDescent="0.3">
      <c r="E130" s="1"/>
      <c r="F130" s="1"/>
      <c r="G130" s="1"/>
    </row>
    <row r="131" spans="5:7" x14ac:dyDescent="0.3">
      <c r="E131" s="1"/>
      <c r="F131" s="1"/>
      <c r="G131" s="1"/>
    </row>
    <row r="132" spans="5:7" x14ac:dyDescent="0.3">
      <c r="E132" s="1"/>
      <c r="F132" s="1"/>
      <c r="G132" s="1"/>
    </row>
    <row r="133" spans="5:7" x14ac:dyDescent="0.3">
      <c r="E133" s="1"/>
      <c r="F133" s="1"/>
      <c r="G133" s="1"/>
    </row>
    <row r="134" spans="5:7" x14ac:dyDescent="0.3">
      <c r="E134" s="1"/>
      <c r="F134" s="1"/>
      <c r="G134" s="1"/>
    </row>
    <row r="135" spans="5:7" x14ac:dyDescent="0.3">
      <c r="E135" s="1"/>
      <c r="F135" s="1"/>
      <c r="G135" s="1"/>
    </row>
    <row r="136" spans="5:7" x14ac:dyDescent="0.3">
      <c r="E136" s="1"/>
      <c r="F136" s="1"/>
      <c r="G136" s="1"/>
    </row>
    <row r="137" spans="5:7" x14ac:dyDescent="0.3">
      <c r="E137" s="1"/>
      <c r="F137" s="1"/>
      <c r="G137" s="1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249A-D8B5-44E7-8CC6-19AE820DD1E2}">
  <dimension ref="A1:G136"/>
  <sheetViews>
    <sheetView workbookViewId="0">
      <pane ySplit="1" topLeftCell="A2" activePane="bottomLeft" state="frozen"/>
      <selection pane="bottomLeft" activeCell="C102" sqref="C102"/>
    </sheetView>
  </sheetViews>
  <sheetFormatPr baseColWidth="10" defaultRowHeight="14.4" x14ac:dyDescent="0.3"/>
  <cols>
    <col min="1" max="1" width="11.5546875" style="1"/>
    <col min="2" max="2" width="44.21875" bestFit="1" customWidth="1"/>
    <col min="3" max="4" width="11.5546875" style="3"/>
    <col min="6" max="6" width="12.6640625" bestFit="1" customWidth="1"/>
  </cols>
  <sheetData>
    <row r="1" spans="1:7" s="2" customFormat="1" x14ac:dyDescent="0.3">
      <c r="A1" s="2" t="s">
        <v>87</v>
      </c>
      <c r="B1" s="2" t="s">
        <v>88</v>
      </c>
      <c r="C1" s="2" t="s">
        <v>89</v>
      </c>
      <c r="D1" s="2" t="s">
        <v>120</v>
      </c>
      <c r="E1" s="2" t="s">
        <v>91</v>
      </c>
      <c r="F1" s="2" t="s">
        <v>90</v>
      </c>
      <c r="G1" s="2" t="s">
        <v>150</v>
      </c>
    </row>
    <row r="2" spans="1:7" x14ac:dyDescent="0.3">
      <c r="A2" s="1">
        <v>25013770</v>
      </c>
      <c r="B2" t="s">
        <v>290</v>
      </c>
      <c r="C2" s="3" t="s">
        <v>117</v>
      </c>
      <c r="D2" s="1" t="s">
        <v>302</v>
      </c>
      <c r="E2" s="1" t="s">
        <v>303</v>
      </c>
      <c r="F2" s="4">
        <v>9.5500000000000007</v>
      </c>
      <c r="G2" s="1">
        <v>0</v>
      </c>
    </row>
    <row r="3" spans="1:7" x14ac:dyDescent="0.3">
      <c r="A3" s="1">
        <v>25013788</v>
      </c>
      <c r="B3" t="s">
        <v>291</v>
      </c>
      <c r="C3" s="3" t="s">
        <v>118</v>
      </c>
      <c r="D3" s="1" t="s">
        <v>302</v>
      </c>
      <c r="E3" s="1" t="s">
        <v>303</v>
      </c>
      <c r="F3" s="4">
        <v>9.4500000000000011</v>
      </c>
      <c r="G3" s="1">
        <v>0</v>
      </c>
    </row>
    <row r="4" spans="1:7" x14ac:dyDescent="0.3">
      <c r="A4" s="1">
        <v>25013760</v>
      </c>
      <c r="B4" t="s">
        <v>292</v>
      </c>
      <c r="C4" s="3" t="s">
        <v>117</v>
      </c>
      <c r="D4" s="1" t="s">
        <v>302</v>
      </c>
      <c r="E4" s="1" t="s">
        <v>303</v>
      </c>
      <c r="F4" s="4">
        <v>7.9874999999999998</v>
      </c>
      <c r="G4" s="1">
        <v>0</v>
      </c>
    </row>
    <row r="5" spans="1:7" x14ac:dyDescent="0.3">
      <c r="A5" s="1">
        <v>25013767</v>
      </c>
      <c r="B5" t="s">
        <v>293</v>
      </c>
      <c r="C5" s="3" t="s">
        <v>118</v>
      </c>
      <c r="D5" s="1" t="s">
        <v>302</v>
      </c>
      <c r="E5" s="1" t="s">
        <v>303</v>
      </c>
      <c r="F5" s="4">
        <v>6.6791666666666671</v>
      </c>
      <c r="G5" s="1">
        <v>8</v>
      </c>
    </row>
    <row r="6" spans="1:7" x14ac:dyDescent="0.3">
      <c r="A6" s="1">
        <v>25013740</v>
      </c>
      <c r="B6" t="s">
        <v>294</v>
      </c>
      <c r="C6" s="3" t="s">
        <v>118</v>
      </c>
      <c r="D6" s="1" t="s">
        <v>302</v>
      </c>
      <c r="E6" s="1" t="s">
        <v>303</v>
      </c>
      <c r="F6" s="4">
        <v>8.4875000000000007</v>
      </c>
      <c r="G6" s="1">
        <v>0</v>
      </c>
    </row>
    <row r="7" spans="1:7" x14ac:dyDescent="0.3">
      <c r="A7" s="1">
        <v>25013035</v>
      </c>
      <c r="B7" t="s">
        <v>295</v>
      </c>
      <c r="C7" s="3" t="s">
        <v>117</v>
      </c>
      <c r="D7" s="1" t="s">
        <v>302</v>
      </c>
      <c r="E7" s="1" t="s">
        <v>303</v>
      </c>
      <c r="F7" s="4">
        <v>9.9499999999999993</v>
      </c>
      <c r="G7" s="1">
        <v>0</v>
      </c>
    </row>
    <row r="8" spans="1:7" x14ac:dyDescent="0.3">
      <c r="A8" s="1">
        <v>25013695</v>
      </c>
      <c r="B8" t="s">
        <v>296</v>
      </c>
      <c r="C8" s="3" t="s">
        <v>117</v>
      </c>
      <c r="D8" s="1" t="s">
        <v>302</v>
      </c>
      <c r="E8" s="1" t="s">
        <v>303</v>
      </c>
      <c r="F8" s="4">
        <v>10.045833333333334</v>
      </c>
      <c r="G8" s="1">
        <v>0</v>
      </c>
    </row>
    <row r="9" spans="1:7" x14ac:dyDescent="0.3">
      <c r="A9" s="1">
        <v>25013736</v>
      </c>
      <c r="B9" t="s">
        <v>297</v>
      </c>
      <c r="C9" s="3" t="s">
        <v>117</v>
      </c>
      <c r="D9" s="1" t="s">
        <v>302</v>
      </c>
      <c r="E9" s="1" t="s">
        <v>303</v>
      </c>
      <c r="F9" s="4">
        <v>8</v>
      </c>
      <c r="G9" s="1">
        <v>0</v>
      </c>
    </row>
    <row r="10" spans="1:7" x14ac:dyDescent="0.3">
      <c r="A10" s="1">
        <v>25013735</v>
      </c>
      <c r="B10" t="s">
        <v>298</v>
      </c>
      <c r="C10" s="3" t="s">
        <v>117</v>
      </c>
      <c r="D10" s="1" t="s">
        <v>302</v>
      </c>
      <c r="E10" s="1" t="s">
        <v>303</v>
      </c>
      <c r="F10" s="4">
        <v>9.5</v>
      </c>
      <c r="G10" s="1">
        <v>0</v>
      </c>
    </row>
    <row r="11" spans="1:7" x14ac:dyDescent="0.3">
      <c r="A11" s="1">
        <v>25013732</v>
      </c>
      <c r="B11" t="s">
        <v>299</v>
      </c>
      <c r="C11" s="3" t="s">
        <v>117</v>
      </c>
      <c r="D11" s="1" t="s">
        <v>302</v>
      </c>
      <c r="E11" s="1" t="s">
        <v>303</v>
      </c>
      <c r="F11" s="4">
        <v>5.5</v>
      </c>
      <c r="G11" s="1">
        <v>8</v>
      </c>
    </row>
    <row r="12" spans="1:7" x14ac:dyDescent="0.3">
      <c r="A12" s="1">
        <v>25013779</v>
      </c>
      <c r="B12" t="s">
        <v>300</v>
      </c>
      <c r="C12" s="3" t="s">
        <v>117</v>
      </c>
      <c r="D12" s="1" t="s">
        <v>302</v>
      </c>
      <c r="E12" s="1" t="s">
        <v>303</v>
      </c>
      <c r="F12" s="4">
        <v>7.5083333333333337</v>
      </c>
      <c r="G12" s="1">
        <v>0</v>
      </c>
    </row>
    <row r="13" spans="1:7" x14ac:dyDescent="0.3">
      <c r="A13" s="1">
        <v>25011687</v>
      </c>
      <c r="B13" t="s">
        <v>301</v>
      </c>
      <c r="C13" s="3" t="s">
        <v>118</v>
      </c>
      <c r="D13" s="1" t="s">
        <v>302</v>
      </c>
      <c r="E13" s="1" t="s">
        <v>303</v>
      </c>
      <c r="F13" s="4">
        <v>9.9499999999999993</v>
      </c>
      <c r="G13" s="1">
        <v>0</v>
      </c>
    </row>
    <row r="14" spans="1:7" x14ac:dyDescent="0.3">
      <c r="A14" s="1">
        <v>23032045</v>
      </c>
      <c r="B14" t="s">
        <v>304</v>
      </c>
      <c r="C14" s="3" t="s">
        <v>118</v>
      </c>
      <c r="D14" s="1" t="s">
        <v>121</v>
      </c>
      <c r="E14" s="1" t="s">
        <v>328</v>
      </c>
      <c r="F14" s="4">
        <v>8.9845952380952365</v>
      </c>
      <c r="G14" s="1">
        <v>1</v>
      </c>
    </row>
    <row r="15" spans="1:7" x14ac:dyDescent="0.3">
      <c r="A15" s="1">
        <v>23032483</v>
      </c>
      <c r="B15" t="s">
        <v>305</v>
      </c>
      <c r="C15" s="3" t="s">
        <v>117</v>
      </c>
      <c r="D15" s="1" t="s">
        <v>121</v>
      </c>
      <c r="E15" s="1" t="s">
        <v>328</v>
      </c>
      <c r="F15" s="4">
        <v>8.0307619047619045</v>
      </c>
      <c r="G15" s="1">
        <v>4</v>
      </c>
    </row>
    <row r="16" spans="1:7" x14ac:dyDescent="0.3">
      <c r="A16" s="1">
        <v>23032123</v>
      </c>
      <c r="B16" t="s">
        <v>306</v>
      </c>
      <c r="C16" s="3" t="s">
        <v>117</v>
      </c>
      <c r="D16" s="1" t="s">
        <v>121</v>
      </c>
      <c r="E16" s="1" t="s">
        <v>328</v>
      </c>
      <c r="F16" s="4">
        <v>9.4689285714285738</v>
      </c>
      <c r="G16" s="1">
        <v>1</v>
      </c>
    </row>
    <row r="17" spans="1:7" x14ac:dyDescent="0.3">
      <c r="A17" s="1">
        <v>23032462</v>
      </c>
      <c r="B17" t="s">
        <v>307</v>
      </c>
      <c r="C17" s="3" t="s">
        <v>118</v>
      </c>
      <c r="D17" s="1" t="s">
        <v>121</v>
      </c>
      <c r="E17" s="1" t="s">
        <v>328</v>
      </c>
      <c r="F17" s="4">
        <v>8.9891904761904762</v>
      </c>
      <c r="G17" s="1">
        <v>4</v>
      </c>
    </row>
    <row r="18" spans="1:7" x14ac:dyDescent="0.3">
      <c r="A18" s="1">
        <v>23032125</v>
      </c>
      <c r="B18" t="s">
        <v>308</v>
      </c>
      <c r="C18" s="3" t="s">
        <v>118</v>
      </c>
      <c r="D18" s="1" t="s">
        <v>121</v>
      </c>
      <c r="E18" s="1" t="s">
        <v>328</v>
      </c>
      <c r="F18" s="4">
        <v>10.004428571428571</v>
      </c>
      <c r="G18" s="1">
        <v>1</v>
      </c>
    </row>
    <row r="19" spans="1:7" x14ac:dyDescent="0.3">
      <c r="A19" s="1">
        <v>23032122</v>
      </c>
      <c r="B19" t="s">
        <v>309</v>
      </c>
      <c r="C19" s="3" t="s">
        <v>117</v>
      </c>
      <c r="D19" s="1" t="s">
        <v>121</v>
      </c>
      <c r="E19" s="1" t="s">
        <v>328</v>
      </c>
      <c r="F19" s="4">
        <v>8.0375238095238117</v>
      </c>
      <c r="G19" s="1">
        <v>4</v>
      </c>
    </row>
    <row r="20" spans="1:7" x14ac:dyDescent="0.3">
      <c r="A20" s="1">
        <v>23032043</v>
      </c>
      <c r="B20" t="s">
        <v>310</v>
      </c>
      <c r="C20" s="3" t="s">
        <v>118</v>
      </c>
      <c r="D20" s="1" t="s">
        <v>121</v>
      </c>
      <c r="E20" s="1" t="s">
        <v>328</v>
      </c>
      <c r="F20" s="4">
        <v>10.000023809523809</v>
      </c>
      <c r="G20" s="1">
        <v>2</v>
      </c>
    </row>
    <row r="21" spans="1:7" x14ac:dyDescent="0.3">
      <c r="A21" s="1">
        <v>23032740</v>
      </c>
      <c r="B21" t="s">
        <v>134</v>
      </c>
      <c r="C21" s="3" t="s">
        <v>117</v>
      </c>
      <c r="D21" s="1" t="s">
        <v>121</v>
      </c>
      <c r="E21" s="1" t="s">
        <v>328</v>
      </c>
      <c r="F21" s="4">
        <v>8.9737857142857145</v>
      </c>
      <c r="G21" s="1">
        <v>4</v>
      </c>
    </row>
    <row r="22" spans="1:7" x14ac:dyDescent="0.3">
      <c r="A22" s="1">
        <v>23031172</v>
      </c>
      <c r="B22" t="s">
        <v>311</v>
      </c>
      <c r="C22" s="3" t="s">
        <v>118</v>
      </c>
      <c r="D22" s="1" t="s">
        <v>121</v>
      </c>
      <c r="E22" s="1" t="s">
        <v>328</v>
      </c>
      <c r="F22" s="4">
        <v>9.0001666666666651</v>
      </c>
      <c r="G22" s="1">
        <v>0</v>
      </c>
    </row>
    <row r="23" spans="1:7" x14ac:dyDescent="0.3">
      <c r="A23" s="1">
        <v>23032434</v>
      </c>
      <c r="B23" t="s">
        <v>312</v>
      </c>
      <c r="C23" s="3" t="s">
        <v>118</v>
      </c>
      <c r="D23" s="1" t="s">
        <v>121</v>
      </c>
      <c r="E23" s="1" t="s">
        <v>328</v>
      </c>
      <c r="F23" s="4">
        <v>9.96292857142857</v>
      </c>
      <c r="G23" s="1">
        <v>1</v>
      </c>
    </row>
    <row r="24" spans="1:7" x14ac:dyDescent="0.3">
      <c r="A24" s="1">
        <v>23032253</v>
      </c>
      <c r="B24" t="s">
        <v>313</v>
      </c>
      <c r="C24" s="3" t="s">
        <v>118</v>
      </c>
      <c r="D24" s="1" t="s">
        <v>121</v>
      </c>
      <c r="E24" s="1" t="s">
        <v>328</v>
      </c>
      <c r="F24" s="4">
        <v>10.016095238095238</v>
      </c>
      <c r="G24" s="1">
        <v>2</v>
      </c>
    </row>
    <row r="25" spans="1:7" x14ac:dyDescent="0.3">
      <c r="A25" s="1">
        <v>23032136</v>
      </c>
      <c r="B25" t="s">
        <v>314</v>
      </c>
      <c r="C25" s="3" t="s">
        <v>118</v>
      </c>
      <c r="D25" s="1" t="s">
        <v>121</v>
      </c>
      <c r="E25" s="1" t="s">
        <v>328</v>
      </c>
      <c r="F25" s="4">
        <v>10.022678571428571</v>
      </c>
      <c r="G25" s="1">
        <v>2</v>
      </c>
    </row>
    <row r="26" spans="1:7" x14ac:dyDescent="0.3">
      <c r="A26" s="1">
        <v>23031982</v>
      </c>
      <c r="B26" t="s">
        <v>315</v>
      </c>
      <c r="C26" s="3" t="s">
        <v>118</v>
      </c>
      <c r="D26" s="1" t="s">
        <v>121</v>
      </c>
      <c r="E26" s="1" t="s">
        <v>328</v>
      </c>
      <c r="F26" s="4">
        <v>9.4870000000000001</v>
      </c>
      <c r="G26" s="1">
        <v>0</v>
      </c>
    </row>
    <row r="27" spans="1:7" x14ac:dyDescent="0.3">
      <c r="A27" s="1">
        <v>23011879</v>
      </c>
      <c r="B27" t="s">
        <v>316</v>
      </c>
      <c r="C27" s="3" t="s">
        <v>118</v>
      </c>
      <c r="D27" s="1" t="s">
        <v>121</v>
      </c>
      <c r="E27" s="1" t="s">
        <v>328</v>
      </c>
      <c r="F27" s="4">
        <v>8.4689523809523823</v>
      </c>
      <c r="G27" s="1">
        <v>5</v>
      </c>
    </row>
    <row r="28" spans="1:7" x14ac:dyDescent="0.3">
      <c r="A28" s="1">
        <v>23032559</v>
      </c>
      <c r="B28" t="s">
        <v>317</v>
      </c>
      <c r="C28" s="3" t="s">
        <v>118</v>
      </c>
      <c r="D28" s="1" t="s">
        <v>121</v>
      </c>
      <c r="E28" s="1" t="s">
        <v>328</v>
      </c>
      <c r="F28" s="4">
        <v>8.5027738095238092</v>
      </c>
      <c r="G28" s="1">
        <v>4</v>
      </c>
    </row>
    <row r="29" spans="1:7" x14ac:dyDescent="0.3">
      <c r="A29" s="1">
        <v>23032571</v>
      </c>
      <c r="B29" t="s">
        <v>318</v>
      </c>
      <c r="C29" s="3" t="s">
        <v>118</v>
      </c>
      <c r="D29" s="1" t="s">
        <v>121</v>
      </c>
      <c r="E29" s="1" t="s">
        <v>328</v>
      </c>
      <c r="F29" s="4">
        <v>8.0000238095238103</v>
      </c>
      <c r="G29" s="1">
        <v>5</v>
      </c>
    </row>
    <row r="30" spans="1:7" x14ac:dyDescent="0.3">
      <c r="A30" s="1">
        <v>23030566</v>
      </c>
      <c r="B30" t="s">
        <v>319</v>
      </c>
      <c r="C30" s="3" t="s">
        <v>117</v>
      </c>
      <c r="D30" s="1" t="s">
        <v>121</v>
      </c>
      <c r="E30" s="1" t="s">
        <v>328</v>
      </c>
      <c r="F30" s="4">
        <v>9.7820952380952377</v>
      </c>
      <c r="G30" s="1">
        <v>2</v>
      </c>
    </row>
    <row r="31" spans="1:7" x14ac:dyDescent="0.3">
      <c r="A31" s="1">
        <v>23032548</v>
      </c>
      <c r="B31" t="s">
        <v>320</v>
      </c>
      <c r="C31" s="3" t="s">
        <v>118</v>
      </c>
      <c r="D31" s="1" t="s">
        <v>121</v>
      </c>
      <c r="E31" s="1" t="s">
        <v>328</v>
      </c>
      <c r="F31" s="4">
        <v>9.0096904761904764</v>
      </c>
      <c r="G31" s="1">
        <v>5</v>
      </c>
    </row>
    <row r="32" spans="1:7" x14ac:dyDescent="0.3">
      <c r="A32" s="1">
        <v>23032088</v>
      </c>
      <c r="B32" t="s">
        <v>321</v>
      </c>
      <c r="C32" s="3" t="s">
        <v>117</v>
      </c>
      <c r="D32" s="1" t="s">
        <v>121</v>
      </c>
      <c r="E32" s="1" t="s">
        <v>328</v>
      </c>
      <c r="F32" s="4">
        <v>7.7733571428571437</v>
      </c>
      <c r="G32" s="1">
        <v>3</v>
      </c>
    </row>
    <row r="33" spans="1:7" x14ac:dyDescent="0.3">
      <c r="A33" s="1">
        <v>23032712</v>
      </c>
      <c r="B33" t="s">
        <v>322</v>
      </c>
      <c r="C33" s="3" t="s">
        <v>117</v>
      </c>
      <c r="D33" s="1" t="s">
        <v>121</v>
      </c>
      <c r="E33" s="1" t="s">
        <v>328</v>
      </c>
      <c r="F33" s="4">
        <v>8.5167190476190466</v>
      </c>
      <c r="G33" s="1">
        <v>5</v>
      </c>
    </row>
    <row r="34" spans="1:7" x14ac:dyDescent="0.3">
      <c r="A34" s="1">
        <v>23032553</v>
      </c>
      <c r="B34" t="s">
        <v>323</v>
      </c>
      <c r="C34" s="3" t="s">
        <v>118</v>
      </c>
      <c r="D34" s="1" t="s">
        <v>121</v>
      </c>
      <c r="E34" s="1" t="s">
        <v>328</v>
      </c>
      <c r="F34" s="4">
        <v>8.7530000000000001</v>
      </c>
      <c r="G34" s="1">
        <v>0</v>
      </c>
    </row>
    <row r="35" spans="1:7" x14ac:dyDescent="0.3">
      <c r="A35" s="1">
        <v>23032502</v>
      </c>
      <c r="B35" t="s">
        <v>324</v>
      </c>
      <c r="C35" s="3" t="s">
        <v>117</v>
      </c>
      <c r="D35" s="1" t="s">
        <v>121</v>
      </c>
      <c r="E35" s="1" t="s">
        <v>328</v>
      </c>
      <c r="F35" s="4">
        <v>8.0184285714285721</v>
      </c>
      <c r="G35" s="1">
        <v>3</v>
      </c>
    </row>
    <row r="36" spans="1:7" x14ac:dyDescent="0.3">
      <c r="A36" s="1">
        <v>23031953</v>
      </c>
      <c r="B36" t="s">
        <v>325</v>
      </c>
      <c r="C36" s="3" t="s">
        <v>117</v>
      </c>
      <c r="D36" s="1" t="s">
        <v>121</v>
      </c>
      <c r="E36" s="1" t="s">
        <v>328</v>
      </c>
      <c r="F36" s="4">
        <v>8.9974285714285713</v>
      </c>
      <c r="G36" s="1">
        <v>2</v>
      </c>
    </row>
    <row r="37" spans="1:7" x14ac:dyDescent="0.3">
      <c r="A37" s="1">
        <v>23032118</v>
      </c>
      <c r="B37" t="s">
        <v>326</v>
      </c>
      <c r="C37" s="3" t="s">
        <v>118</v>
      </c>
      <c r="D37" s="1" t="s">
        <v>121</v>
      </c>
      <c r="E37" s="1" t="s">
        <v>328</v>
      </c>
      <c r="F37" s="4">
        <v>9.9789166666666667</v>
      </c>
      <c r="G37" s="1">
        <v>0</v>
      </c>
    </row>
    <row r="38" spans="1:7" x14ac:dyDescent="0.3">
      <c r="A38" s="1">
        <v>23032121</v>
      </c>
      <c r="B38" t="s">
        <v>327</v>
      </c>
      <c r="C38" s="3" t="s">
        <v>117</v>
      </c>
      <c r="D38" s="1" t="s">
        <v>121</v>
      </c>
      <c r="E38" s="1" t="s">
        <v>328</v>
      </c>
      <c r="F38" s="4">
        <v>10.031766666666666</v>
      </c>
      <c r="G38" s="1">
        <v>0</v>
      </c>
    </row>
    <row r="39" spans="1:7" x14ac:dyDescent="0.3">
      <c r="A39" s="1">
        <v>24012476</v>
      </c>
      <c r="B39" t="s">
        <v>329</v>
      </c>
      <c r="C39" s="3" t="s">
        <v>117</v>
      </c>
      <c r="D39" s="1" t="s">
        <v>353</v>
      </c>
      <c r="E39" s="1" t="s">
        <v>354</v>
      </c>
      <c r="F39" s="4">
        <v>6.0289835714285713</v>
      </c>
      <c r="G39" s="1">
        <v>3</v>
      </c>
    </row>
    <row r="40" spans="1:7" x14ac:dyDescent="0.3">
      <c r="A40" s="1">
        <v>22031083</v>
      </c>
      <c r="B40" t="s">
        <v>122</v>
      </c>
      <c r="C40" s="3" t="s">
        <v>118</v>
      </c>
      <c r="D40" s="1" t="s">
        <v>353</v>
      </c>
      <c r="E40" s="1" t="s">
        <v>354</v>
      </c>
      <c r="F40" s="4">
        <v>7.5078903571428572</v>
      </c>
      <c r="G40" s="1">
        <v>5</v>
      </c>
    </row>
    <row r="41" spans="1:7" x14ac:dyDescent="0.3">
      <c r="A41" s="1">
        <v>24012477</v>
      </c>
      <c r="B41" t="s">
        <v>203</v>
      </c>
      <c r="C41" s="3" t="s">
        <v>117</v>
      </c>
      <c r="D41" s="1" t="s">
        <v>353</v>
      </c>
      <c r="E41" s="1" t="s">
        <v>354</v>
      </c>
      <c r="F41" s="4">
        <v>8.9606300000000001</v>
      </c>
      <c r="G41" s="1">
        <v>0</v>
      </c>
    </row>
    <row r="42" spans="1:7" x14ac:dyDescent="0.3">
      <c r="A42" s="1">
        <v>23031983</v>
      </c>
      <c r="B42" t="s">
        <v>330</v>
      </c>
      <c r="C42" s="3" t="s">
        <v>117</v>
      </c>
      <c r="D42" s="1" t="s">
        <v>353</v>
      </c>
      <c r="E42" s="1" t="s">
        <v>354</v>
      </c>
      <c r="F42" s="4">
        <v>8.045908571428571</v>
      </c>
      <c r="G42" s="1">
        <v>1</v>
      </c>
    </row>
    <row r="43" spans="1:7" x14ac:dyDescent="0.3">
      <c r="A43" s="1">
        <v>24012796</v>
      </c>
      <c r="B43" t="s">
        <v>204</v>
      </c>
      <c r="C43" s="3" t="s">
        <v>117</v>
      </c>
      <c r="D43" s="1" t="s">
        <v>353</v>
      </c>
      <c r="E43" s="1" t="s">
        <v>354</v>
      </c>
      <c r="F43" s="4">
        <v>6.0160922619047614</v>
      </c>
      <c r="G43" s="1">
        <v>7</v>
      </c>
    </row>
    <row r="44" spans="1:7" x14ac:dyDescent="0.3">
      <c r="A44" s="1">
        <v>23032614</v>
      </c>
      <c r="B44" t="s">
        <v>331</v>
      </c>
      <c r="C44" s="3" t="s">
        <v>117</v>
      </c>
      <c r="D44" s="1" t="s">
        <v>353</v>
      </c>
      <c r="E44" s="1" t="s">
        <v>354</v>
      </c>
      <c r="F44" s="4">
        <v>7.2289594047619046</v>
      </c>
      <c r="G44" s="1">
        <v>1</v>
      </c>
    </row>
    <row r="45" spans="1:7" x14ac:dyDescent="0.3">
      <c r="A45" s="1">
        <v>22030279</v>
      </c>
      <c r="B45" t="s">
        <v>239</v>
      </c>
      <c r="C45" s="3" t="s">
        <v>117</v>
      </c>
      <c r="D45" s="1" t="s">
        <v>353</v>
      </c>
      <c r="E45" s="1" t="s">
        <v>354</v>
      </c>
      <c r="F45" s="4">
        <v>8.4804708333333316</v>
      </c>
      <c r="G45" s="1">
        <v>1</v>
      </c>
    </row>
    <row r="46" spans="1:7" x14ac:dyDescent="0.3">
      <c r="A46" s="1">
        <v>24012425</v>
      </c>
      <c r="B46" t="s">
        <v>205</v>
      </c>
      <c r="C46" s="3" t="s">
        <v>117</v>
      </c>
      <c r="D46" s="1" t="s">
        <v>353</v>
      </c>
      <c r="E46" s="1" t="s">
        <v>354</v>
      </c>
      <c r="F46" s="4">
        <v>10.006777499999998</v>
      </c>
      <c r="G46" s="1">
        <v>0</v>
      </c>
    </row>
    <row r="47" spans="1:7" x14ac:dyDescent="0.3">
      <c r="A47" s="1">
        <v>23032542</v>
      </c>
      <c r="B47" t="s">
        <v>332</v>
      </c>
      <c r="C47" s="3" t="s">
        <v>117</v>
      </c>
      <c r="D47" s="1" t="s">
        <v>353</v>
      </c>
      <c r="E47" s="1" t="s">
        <v>354</v>
      </c>
      <c r="F47" s="4">
        <v>7.0279769047619052</v>
      </c>
      <c r="G47" s="1">
        <v>2</v>
      </c>
    </row>
    <row r="48" spans="1:7" x14ac:dyDescent="0.3">
      <c r="A48" s="1">
        <v>23032228</v>
      </c>
      <c r="B48" t="s">
        <v>333</v>
      </c>
      <c r="C48" s="3" t="s">
        <v>117</v>
      </c>
      <c r="D48" s="1" t="s">
        <v>353</v>
      </c>
      <c r="E48" s="1" t="s">
        <v>354</v>
      </c>
      <c r="F48" s="4">
        <v>9.4937546428571444</v>
      </c>
      <c r="G48" s="1">
        <v>2</v>
      </c>
    </row>
    <row r="49" spans="1:7" x14ac:dyDescent="0.3">
      <c r="A49" s="1">
        <v>24012426</v>
      </c>
      <c r="B49" t="s">
        <v>208</v>
      </c>
      <c r="C49" s="3" t="s">
        <v>117</v>
      </c>
      <c r="D49" s="1" t="s">
        <v>353</v>
      </c>
      <c r="E49" s="1" t="s">
        <v>354</v>
      </c>
      <c r="F49" s="4">
        <v>8.4931871428571419</v>
      </c>
      <c r="G49" s="1">
        <v>2</v>
      </c>
    </row>
    <row r="50" spans="1:7" x14ac:dyDescent="0.3">
      <c r="A50" s="1">
        <v>24012731</v>
      </c>
      <c r="B50" t="s">
        <v>334</v>
      </c>
      <c r="C50" s="3" t="s">
        <v>118</v>
      </c>
      <c r="D50" s="1" t="s">
        <v>353</v>
      </c>
      <c r="E50" s="1" t="s">
        <v>354</v>
      </c>
      <c r="F50" s="4">
        <v>10.011593749999999</v>
      </c>
      <c r="G50" s="1">
        <v>0</v>
      </c>
    </row>
    <row r="51" spans="1:7" x14ac:dyDescent="0.3">
      <c r="A51" s="1">
        <v>24012786</v>
      </c>
      <c r="B51" t="s">
        <v>335</v>
      </c>
      <c r="C51" s="3" t="s">
        <v>118</v>
      </c>
      <c r="D51" s="1" t="s">
        <v>353</v>
      </c>
      <c r="E51" s="1" t="s">
        <v>354</v>
      </c>
      <c r="F51" s="4">
        <v>9.9947774999999996</v>
      </c>
      <c r="G51" s="1">
        <v>0</v>
      </c>
    </row>
    <row r="52" spans="1:7" x14ac:dyDescent="0.3">
      <c r="A52" s="1">
        <v>24012752</v>
      </c>
      <c r="B52" t="s">
        <v>336</v>
      </c>
      <c r="C52" s="3" t="s">
        <v>117</v>
      </c>
      <c r="D52" s="1" t="s">
        <v>353</v>
      </c>
      <c r="E52" s="1" t="s">
        <v>354</v>
      </c>
      <c r="F52" s="4">
        <v>9.0011133333333326</v>
      </c>
      <c r="G52" s="1">
        <v>0</v>
      </c>
    </row>
    <row r="53" spans="1:7" x14ac:dyDescent="0.3">
      <c r="A53" s="1">
        <v>24012788</v>
      </c>
      <c r="B53" t="s">
        <v>337</v>
      </c>
      <c r="C53" s="3" t="s">
        <v>118</v>
      </c>
      <c r="D53" s="1" t="s">
        <v>353</v>
      </c>
      <c r="E53" s="1" t="s">
        <v>354</v>
      </c>
      <c r="F53" s="4">
        <v>10.010885</v>
      </c>
      <c r="G53" s="1">
        <v>0</v>
      </c>
    </row>
    <row r="54" spans="1:7" x14ac:dyDescent="0.3">
      <c r="A54" s="1">
        <v>24012458</v>
      </c>
      <c r="B54" t="s">
        <v>215</v>
      </c>
      <c r="C54" s="3" t="s">
        <v>118</v>
      </c>
      <c r="D54" s="1" t="s">
        <v>353</v>
      </c>
      <c r="E54" s="1" t="s">
        <v>354</v>
      </c>
      <c r="F54" s="4">
        <v>7.4686869642857143</v>
      </c>
      <c r="G54" s="1">
        <v>4</v>
      </c>
    </row>
    <row r="55" spans="1:7" x14ac:dyDescent="0.3">
      <c r="A55" s="1">
        <v>24012783</v>
      </c>
      <c r="B55" t="s">
        <v>338</v>
      </c>
      <c r="C55" s="3" t="s">
        <v>118</v>
      </c>
      <c r="D55" s="1" t="s">
        <v>353</v>
      </c>
      <c r="E55" s="1" t="s">
        <v>354</v>
      </c>
      <c r="F55" s="4">
        <v>7.5157013095238092</v>
      </c>
      <c r="G55" s="1">
        <v>3</v>
      </c>
    </row>
    <row r="56" spans="1:7" x14ac:dyDescent="0.3">
      <c r="A56" s="1">
        <v>24012413</v>
      </c>
      <c r="B56" t="s">
        <v>339</v>
      </c>
      <c r="C56" s="3" t="s">
        <v>118</v>
      </c>
      <c r="D56" s="1" t="s">
        <v>353</v>
      </c>
      <c r="E56" s="1" t="s">
        <v>354</v>
      </c>
      <c r="F56" s="4">
        <v>10.044619999999998</v>
      </c>
      <c r="G56" s="1">
        <v>0</v>
      </c>
    </row>
    <row r="57" spans="1:7" x14ac:dyDescent="0.3">
      <c r="A57" s="1">
        <v>24012414</v>
      </c>
      <c r="B57" t="s">
        <v>340</v>
      </c>
      <c r="C57" s="3" t="s">
        <v>117</v>
      </c>
      <c r="D57" s="1" t="s">
        <v>353</v>
      </c>
      <c r="E57" s="1" t="s">
        <v>354</v>
      </c>
      <c r="F57" s="4">
        <v>6.7260050000000007</v>
      </c>
      <c r="G57" s="1">
        <v>0</v>
      </c>
    </row>
    <row r="58" spans="1:7" x14ac:dyDescent="0.3">
      <c r="A58" s="1">
        <v>24012454</v>
      </c>
      <c r="B58" t="s">
        <v>341</v>
      </c>
      <c r="C58" s="3" t="s">
        <v>117</v>
      </c>
      <c r="D58" s="1" t="s">
        <v>353</v>
      </c>
      <c r="E58" s="1" t="s">
        <v>354</v>
      </c>
      <c r="F58" s="4">
        <v>9.4966682142857159</v>
      </c>
      <c r="G58" s="1">
        <v>3</v>
      </c>
    </row>
    <row r="59" spans="1:7" x14ac:dyDescent="0.3">
      <c r="A59" s="1">
        <v>23032730</v>
      </c>
      <c r="B59" t="s">
        <v>342</v>
      </c>
      <c r="C59" s="3" t="s">
        <v>117</v>
      </c>
      <c r="D59" s="1" t="s">
        <v>353</v>
      </c>
      <c r="E59" s="1" t="s">
        <v>354</v>
      </c>
      <c r="F59" s="4">
        <v>5.5027187499999997</v>
      </c>
      <c r="G59" s="1">
        <v>8</v>
      </c>
    </row>
    <row r="60" spans="1:7" x14ac:dyDescent="0.3">
      <c r="A60" s="1">
        <v>24011655</v>
      </c>
      <c r="B60" t="s">
        <v>221</v>
      </c>
      <c r="C60" s="3" t="s">
        <v>117</v>
      </c>
      <c r="D60" s="1" t="s">
        <v>353</v>
      </c>
      <c r="E60" s="1" t="s">
        <v>354</v>
      </c>
      <c r="F60" s="4">
        <v>8.7418546428571418</v>
      </c>
      <c r="G60" s="1">
        <v>3</v>
      </c>
    </row>
    <row r="61" spans="1:7" x14ac:dyDescent="0.3">
      <c r="A61" s="1">
        <v>23032684</v>
      </c>
      <c r="B61" t="s">
        <v>343</v>
      </c>
      <c r="C61" s="3" t="s">
        <v>118</v>
      </c>
      <c r="D61" s="1" t="s">
        <v>353</v>
      </c>
      <c r="E61" s="1" t="s">
        <v>354</v>
      </c>
      <c r="F61" s="4">
        <v>9.5102110714285715</v>
      </c>
      <c r="G61" s="1">
        <v>1</v>
      </c>
    </row>
    <row r="62" spans="1:7" x14ac:dyDescent="0.3">
      <c r="A62" s="1">
        <v>24012739</v>
      </c>
      <c r="B62" t="s">
        <v>344</v>
      </c>
      <c r="C62" s="3" t="s">
        <v>117</v>
      </c>
      <c r="D62" s="1" t="s">
        <v>353</v>
      </c>
      <c r="E62" s="1" t="s">
        <v>354</v>
      </c>
      <c r="F62" s="4">
        <v>10.039334642857142</v>
      </c>
      <c r="G62" s="1">
        <v>2</v>
      </c>
    </row>
    <row r="63" spans="1:7" x14ac:dyDescent="0.3">
      <c r="A63" s="1">
        <v>24012806</v>
      </c>
      <c r="B63" t="s">
        <v>345</v>
      </c>
      <c r="C63" s="3" t="s">
        <v>118</v>
      </c>
      <c r="D63" s="1" t="s">
        <v>353</v>
      </c>
      <c r="E63" s="1" t="s">
        <v>354</v>
      </c>
      <c r="F63" s="4">
        <v>10.0449325</v>
      </c>
      <c r="G63" s="1">
        <v>0</v>
      </c>
    </row>
    <row r="64" spans="1:7" x14ac:dyDescent="0.3">
      <c r="A64" s="1">
        <v>24012818</v>
      </c>
      <c r="B64" t="s">
        <v>346</v>
      </c>
      <c r="C64" s="3" t="s">
        <v>118</v>
      </c>
      <c r="D64" s="1" t="s">
        <v>353</v>
      </c>
      <c r="E64" s="1" t="s">
        <v>354</v>
      </c>
      <c r="F64" s="4">
        <v>9.9947774999999996</v>
      </c>
      <c r="G64" s="1">
        <v>0</v>
      </c>
    </row>
    <row r="65" spans="1:7" x14ac:dyDescent="0.3">
      <c r="A65" s="1">
        <v>24012255</v>
      </c>
      <c r="B65" t="s">
        <v>347</v>
      </c>
      <c r="C65" s="3" t="s">
        <v>118</v>
      </c>
      <c r="D65" s="1" t="s">
        <v>353</v>
      </c>
      <c r="E65" s="1" t="s">
        <v>354</v>
      </c>
      <c r="F65" s="4">
        <v>10.014874166666665</v>
      </c>
      <c r="G65" s="1">
        <v>0</v>
      </c>
    </row>
    <row r="66" spans="1:7" x14ac:dyDescent="0.3">
      <c r="A66" s="1">
        <v>24012440</v>
      </c>
      <c r="B66" t="s">
        <v>348</v>
      </c>
      <c r="C66" s="3" t="s">
        <v>117</v>
      </c>
      <c r="D66" s="1" t="s">
        <v>353</v>
      </c>
      <c r="E66" s="1" t="s">
        <v>354</v>
      </c>
      <c r="F66" s="4">
        <v>8.4815048214285724</v>
      </c>
      <c r="G66" s="1">
        <v>1</v>
      </c>
    </row>
    <row r="67" spans="1:7" x14ac:dyDescent="0.3">
      <c r="A67" s="1">
        <v>22031675</v>
      </c>
      <c r="B67" t="s">
        <v>349</v>
      </c>
      <c r="C67" s="3" t="s">
        <v>117</v>
      </c>
      <c r="D67" s="1" t="s">
        <v>353</v>
      </c>
      <c r="E67" s="1" t="s">
        <v>354</v>
      </c>
      <c r="F67" s="4">
        <v>5.0015053571428574</v>
      </c>
      <c r="G67" s="1">
        <v>15</v>
      </c>
    </row>
    <row r="68" spans="1:7" x14ac:dyDescent="0.3">
      <c r="A68" s="1">
        <v>22031509</v>
      </c>
      <c r="B68" t="s">
        <v>350</v>
      </c>
      <c r="C68" s="3" t="s">
        <v>118</v>
      </c>
      <c r="D68" s="1" t="s">
        <v>353</v>
      </c>
      <c r="E68" s="1" t="s">
        <v>354</v>
      </c>
      <c r="F68" s="4">
        <v>8.7376604761904773</v>
      </c>
      <c r="G68" s="1">
        <v>2</v>
      </c>
    </row>
    <row r="69" spans="1:7" x14ac:dyDescent="0.3">
      <c r="A69" s="1">
        <v>22030947</v>
      </c>
      <c r="B69" t="s">
        <v>146</v>
      </c>
      <c r="C69" s="3" t="s">
        <v>118</v>
      </c>
      <c r="D69" s="1" t="s">
        <v>353</v>
      </c>
      <c r="E69" s="1" t="s">
        <v>354</v>
      </c>
      <c r="F69" s="4">
        <v>8.5187534523809525</v>
      </c>
      <c r="G69" s="1">
        <v>4</v>
      </c>
    </row>
    <row r="70" spans="1:7" x14ac:dyDescent="0.3">
      <c r="A70" s="1">
        <v>23032437</v>
      </c>
      <c r="B70" t="s">
        <v>351</v>
      </c>
      <c r="C70" s="3" t="s">
        <v>117</v>
      </c>
      <c r="D70" s="1" t="s">
        <v>353</v>
      </c>
      <c r="E70" s="1" t="s">
        <v>354</v>
      </c>
      <c r="F70" s="4">
        <v>10.0045675</v>
      </c>
      <c r="G70" s="1">
        <v>0</v>
      </c>
    </row>
    <row r="71" spans="1:7" x14ac:dyDescent="0.3">
      <c r="A71" s="1">
        <v>24012407</v>
      </c>
      <c r="B71" t="s">
        <v>352</v>
      </c>
      <c r="C71" s="3" t="s">
        <v>118</v>
      </c>
      <c r="D71" s="1" t="s">
        <v>353</v>
      </c>
      <c r="E71" s="1" t="s">
        <v>354</v>
      </c>
      <c r="F71" s="4">
        <v>7.7514414285714288</v>
      </c>
      <c r="G71" s="1">
        <v>6</v>
      </c>
    </row>
    <row r="72" spans="1:7" x14ac:dyDescent="0.3">
      <c r="A72" s="1">
        <v>24012464</v>
      </c>
      <c r="B72" t="s">
        <v>234</v>
      </c>
      <c r="C72" s="3" t="s">
        <v>118</v>
      </c>
      <c r="D72" s="1" t="s">
        <v>353</v>
      </c>
      <c r="E72" s="1" t="s">
        <v>354</v>
      </c>
      <c r="F72" s="4">
        <v>10.01359375</v>
      </c>
      <c r="G72" s="1">
        <v>0</v>
      </c>
    </row>
    <row r="73" spans="1:7" x14ac:dyDescent="0.3">
      <c r="A73" s="1">
        <v>23032711</v>
      </c>
      <c r="B73" t="s">
        <v>355</v>
      </c>
      <c r="C73" s="3" t="s">
        <v>117</v>
      </c>
      <c r="D73" s="3" t="s">
        <v>379</v>
      </c>
      <c r="E73" s="1" t="s">
        <v>119</v>
      </c>
      <c r="F73" s="4">
        <v>8.5102158119658107</v>
      </c>
      <c r="G73" s="1">
        <v>3</v>
      </c>
    </row>
    <row r="74" spans="1:7" x14ac:dyDescent="0.3">
      <c r="A74" s="1">
        <v>23032020</v>
      </c>
      <c r="B74" t="s">
        <v>356</v>
      </c>
      <c r="C74" s="3" t="s">
        <v>118</v>
      </c>
      <c r="D74" s="3" t="s">
        <v>379</v>
      </c>
      <c r="E74" s="1" t="s">
        <v>119</v>
      </c>
      <c r="F74" s="4">
        <v>9.7551089743589756</v>
      </c>
      <c r="G74" s="1">
        <v>1</v>
      </c>
    </row>
    <row r="75" spans="1:7" x14ac:dyDescent="0.3">
      <c r="A75" s="1">
        <v>22030976</v>
      </c>
      <c r="B75" t="s">
        <v>152</v>
      </c>
      <c r="C75" s="3" t="s">
        <v>117</v>
      </c>
      <c r="D75" s="3" t="s">
        <v>379</v>
      </c>
      <c r="E75" s="1" t="s">
        <v>119</v>
      </c>
      <c r="F75" s="4">
        <v>5.0055555555555555</v>
      </c>
      <c r="G75" s="1">
        <v>20</v>
      </c>
    </row>
    <row r="76" spans="1:7" x14ac:dyDescent="0.3">
      <c r="A76" s="1">
        <v>23032411</v>
      </c>
      <c r="B76" t="s">
        <v>357</v>
      </c>
      <c r="C76" s="3" t="s">
        <v>117</v>
      </c>
      <c r="D76" s="3" t="s">
        <v>379</v>
      </c>
      <c r="E76" s="1" t="s">
        <v>119</v>
      </c>
      <c r="F76" s="4">
        <v>8.5195366300366295</v>
      </c>
      <c r="G76" s="1">
        <v>9</v>
      </c>
    </row>
    <row r="77" spans="1:7" x14ac:dyDescent="0.3">
      <c r="A77" s="1">
        <v>23032269</v>
      </c>
      <c r="B77" t="s">
        <v>358</v>
      </c>
      <c r="C77" s="3" t="s">
        <v>118</v>
      </c>
      <c r="D77" s="3" t="s">
        <v>379</v>
      </c>
      <c r="E77" s="1" t="s">
        <v>119</v>
      </c>
      <c r="F77" s="4">
        <v>9.9774423076923071</v>
      </c>
      <c r="G77" s="1">
        <v>1</v>
      </c>
    </row>
    <row r="78" spans="1:7" x14ac:dyDescent="0.3">
      <c r="A78" s="1">
        <v>23032421</v>
      </c>
      <c r="B78" t="s">
        <v>359</v>
      </c>
      <c r="C78" s="3" t="s">
        <v>118</v>
      </c>
      <c r="D78" s="3" t="s">
        <v>379</v>
      </c>
      <c r="E78" s="1" t="s">
        <v>119</v>
      </c>
      <c r="F78" s="4">
        <v>8.9642735042735033</v>
      </c>
      <c r="G78" s="1">
        <v>2</v>
      </c>
    </row>
    <row r="79" spans="1:7" x14ac:dyDescent="0.3">
      <c r="A79" s="1">
        <v>23032337</v>
      </c>
      <c r="B79" t="s">
        <v>360</v>
      </c>
      <c r="C79" s="3" t="s">
        <v>118</v>
      </c>
      <c r="D79" s="3" t="s">
        <v>379</v>
      </c>
      <c r="E79" s="1" t="s">
        <v>119</v>
      </c>
      <c r="F79" s="4">
        <v>9.98475</v>
      </c>
      <c r="G79" s="1">
        <v>0</v>
      </c>
    </row>
    <row r="80" spans="1:7" x14ac:dyDescent="0.3">
      <c r="A80" s="1">
        <v>23032003</v>
      </c>
      <c r="B80" t="s">
        <v>361</v>
      </c>
      <c r="C80" s="3" t="s">
        <v>117</v>
      </c>
      <c r="D80" s="3" t="s">
        <v>379</v>
      </c>
      <c r="E80" s="1" t="s">
        <v>119</v>
      </c>
      <c r="F80" s="4">
        <v>9.2601923076923072</v>
      </c>
      <c r="G80" s="1">
        <v>1</v>
      </c>
    </row>
    <row r="81" spans="1:7" x14ac:dyDescent="0.3">
      <c r="A81" s="1">
        <v>23032026</v>
      </c>
      <c r="B81" t="s">
        <v>362</v>
      </c>
      <c r="C81" s="3" t="s">
        <v>117</v>
      </c>
      <c r="D81" s="3" t="s">
        <v>379</v>
      </c>
      <c r="E81" s="1" t="s">
        <v>119</v>
      </c>
      <c r="F81" s="4">
        <v>8.4926346153846151</v>
      </c>
      <c r="G81" s="1">
        <v>2</v>
      </c>
    </row>
    <row r="82" spans="1:7" x14ac:dyDescent="0.3">
      <c r="A82" s="1">
        <v>23031930</v>
      </c>
      <c r="B82" t="s">
        <v>363</v>
      </c>
      <c r="C82" s="3" t="s">
        <v>118</v>
      </c>
      <c r="D82" s="3" t="s">
        <v>379</v>
      </c>
      <c r="E82" s="1" t="s">
        <v>119</v>
      </c>
      <c r="F82" s="4">
        <v>9.7413867521367514</v>
      </c>
      <c r="G82" s="1">
        <v>1</v>
      </c>
    </row>
    <row r="83" spans="1:7" x14ac:dyDescent="0.3">
      <c r="A83" s="1">
        <v>23031268</v>
      </c>
      <c r="B83" t="s">
        <v>364</v>
      </c>
      <c r="C83" s="3" t="s">
        <v>118</v>
      </c>
      <c r="D83" s="3" t="s">
        <v>379</v>
      </c>
      <c r="E83" s="1" t="s">
        <v>119</v>
      </c>
      <c r="F83" s="4">
        <v>9.7061721611721623</v>
      </c>
      <c r="G83" s="1">
        <v>4</v>
      </c>
    </row>
    <row r="84" spans="1:7" x14ac:dyDescent="0.3">
      <c r="A84" s="1">
        <v>23032586</v>
      </c>
      <c r="B84" t="s">
        <v>365</v>
      </c>
      <c r="C84" s="3" t="s">
        <v>117</v>
      </c>
      <c r="D84" s="3" t="s">
        <v>379</v>
      </c>
      <c r="E84" s="1" t="s">
        <v>119</v>
      </c>
      <c r="F84" s="4">
        <v>8.2439319291819295</v>
      </c>
      <c r="G84" s="1">
        <v>6</v>
      </c>
    </row>
    <row r="85" spans="1:7" x14ac:dyDescent="0.3">
      <c r="A85" s="1">
        <v>23032424</v>
      </c>
      <c r="B85" t="s">
        <v>366</v>
      </c>
      <c r="C85" s="3" t="s">
        <v>117</v>
      </c>
      <c r="D85" s="3" t="s">
        <v>379</v>
      </c>
      <c r="E85" s="1" t="s">
        <v>119</v>
      </c>
      <c r="F85" s="4">
        <v>9.9816089743589735</v>
      </c>
      <c r="G85" s="1">
        <v>1</v>
      </c>
    </row>
    <row r="86" spans="1:7" x14ac:dyDescent="0.3">
      <c r="A86" s="1">
        <v>23030864</v>
      </c>
      <c r="B86" t="s">
        <v>367</v>
      </c>
      <c r="C86" s="3" t="s">
        <v>117</v>
      </c>
      <c r="D86" s="3" t="s">
        <v>379</v>
      </c>
      <c r="E86" s="1" t="s">
        <v>119</v>
      </c>
      <c r="F86" s="4">
        <v>9.0134221611721621</v>
      </c>
      <c r="G86" s="1">
        <v>4</v>
      </c>
    </row>
    <row r="87" spans="1:7" x14ac:dyDescent="0.3">
      <c r="A87" s="1">
        <v>23031992</v>
      </c>
      <c r="B87" t="s">
        <v>368</v>
      </c>
      <c r="C87" s="3" t="s">
        <v>117</v>
      </c>
      <c r="D87" s="3" t="s">
        <v>379</v>
      </c>
      <c r="E87" s="1" t="s">
        <v>119</v>
      </c>
      <c r="F87" s="4">
        <v>6.5280503663003664</v>
      </c>
      <c r="G87" s="1">
        <v>9</v>
      </c>
    </row>
    <row r="88" spans="1:7" x14ac:dyDescent="0.3">
      <c r="A88" s="1">
        <v>23031846</v>
      </c>
      <c r="B88" t="s">
        <v>369</v>
      </c>
      <c r="C88" s="3" t="s">
        <v>118</v>
      </c>
      <c r="D88" s="3" t="s">
        <v>379</v>
      </c>
      <c r="E88" s="1" t="s">
        <v>119</v>
      </c>
      <c r="F88" s="4">
        <v>8.7225427350427349</v>
      </c>
      <c r="G88" s="1">
        <v>6</v>
      </c>
    </row>
    <row r="89" spans="1:7" x14ac:dyDescent="0.3">
      <c r="A89" s="1">
        <v>23032265</v>
      </c>
      <c r="B89" t="s">
        <v>370</v>
      </c>
      <c r="C89" s="3" t="s">
        <v>117</v>
      </c>
      <c r="D89" s="3" t="s">
        <v>379</v>
      </c>
      <c r="E89" s="1" t="s">
        <v>119</v>
      </c>
      <c r="F89" s="4">
        <v>9.0259221611721614</v>
      </c>
      <c r="G89" s="1">
        <v>4</v>
      </c>
    </row>
    <row r="90" spans="1:7" x14ac:dyDescent="0.3">
      <c r="A90" s="1">
        <v>23032109</v>
      </c>
      <c r="B90" t="s">
        <v>371</v>
      </c>
      <c r="C90" s="3" t="s">
        <v>118</v>
      </c>
      <c r="D90" s="3" t="s">
        <v>379</v>
      </c>
      <c r="E90" s="1" t="s">
        <v>119</v>
      </c>
      <c r="F90" s="4">
        <v>7.9810610500610499</v>
      </c>
      <c r="G90" s="1">
        <v>4</v>
      </c>
    </row>
    <row r="91" spans="1:7" x14ac:dyDescent="0.3">
      <c r="A91" s="1">
        <v>23032096</v>
      </c>
      <c r="B91" t="s">
        <v>372</v>
      </c>
      <c r="C91" s="3" t="s">
        <v>117</v>
      </c>
      <c r="D91" s="3" t="s">
        <v>379</v>
      </c>
      <c r="E91" s="1" t="s">
        <v>119</v>
      </c>
      <c r="F91" s="4">
        <v>9.7368012820512817</v>
      </c>
      <c r="G91" s="1">
        <v>2</v>
      </c>
    </row>
    <row r="92" spans="1:7" x14ac:dyDescent="0.3">
      <c r="A92" s="1">
        <v>23032395</v>
      </c>
      <c r="B92" t="s">
        <v>373</v>
      </c>
      <c r="C92" s="3" t="s">
        <v>117</v>
      </c>
      <c r="D92" s="3" t="s">
        <v>379</v>
      </c>
      <c r="E92" s="1" t="s">
        <v>119</v>
      </c>
      <c r="F92" s="4">
        <v>8.9899423076923082</v>
      </c>
      <c r="G92" s="1">
        <v>1</v>
      </c>
    </row>
    <row r="93" spans="1:7" x14ac:dyDescent="0.3">
      <c r="A93" s="1">
        <v>23032086</v>
      </c>
      <c r="B93" t="s">
        <v>374</v>
      </c>
      <c r="C93" s="3" t="s">
        <v>118</v>
      </c>
      <c r="D93" s="3" t="s">
        <v>379</v>
      </c>
      <c r="E93" s="1" t="s">
        <v>119</v>
      </c>
      <c r="F93" s="4">
        <v>9.4899423076923082</v>
      </c>
      <c r="G93" s="1">
        <v>1</v>
      </c>
    </row>
    <row r="94" spans="1:7" x14ac:dyDescent="0.3">
      <c r="A94" s="1">
        <v>23032179</v>
      </c>
      <c r="B94" t="s">
        <v>375</v>
      </c>
      <c r="C94" s="3" t="s">
        <v>117</v>
      </c>
      <c r="D94" s="3" t="s">
        <v>379</v>
      </c>
      <c r="E94" s="1" t="s">
        <v>119</v>
      </c>
      <c r="F94" s="4">
        <v>6.2444233821733821</v>
      </c>
      <c r="G94" s="1">
        <v>10</v>
      </c>
    </row>
    <row r="95" spans="1:7" x14ac:dyDescent="0.3">
      <c r="A95" s="1">
        <v>23032338</v>
      </c>
      <c r="B95" t="s">
        <v>376</v>
      </c>
      <c r="C95" s="3" t="s">
        <v>117</v>
      </c>
      <c r="D95" s="3" t="s">
        <v>379</v>
      </c>
      <c r="E95" s="1" t="s">
        <v>119</v>
      </c>
      <c r="F95" s="4">
        <v>9.7612500000000004</v>
      </c>
      <c r="G95" s="1">
        <v>0</v>
      </c>
    </row>
    <row r="96" spans="1:7" x14ac:dyDescent="0.3">
      <c r="A96" s="1">
        <v>23032492</v>
      </c>
      <c r="B96" t="s">
        <v>377</v>
      </c>
      <c r="C96" s="3" t="s">
        <v>118</v>
      </c>
      <c r="D96" s="3" t="s">
        <v>379</v>
      </c>
      <c r="E96" s="1" t="s">
        <v>119</v>
      </c>
      <c r="F96" s="4">
        <v>9.2826346153846142</v>
      </c>
      <c r="G96" s="1">
        <v>2</v>
      </c>
    </row>
    <row r="97" spans="1:7" x14ac:dyDescent="0.3">
      <c r="A97" s="1">
        <v>23032305</v>
      </c>
      <c r="B97" t="s">
        <v>378</v>
      </c>
      <c r="C97" s="3" t="s">
        <v>118</v>
      </c>
      <c r="D97" s="3" t="s">
        <v>379</v>
      </c>
      <c r="E97" s="1" t="s">
        <v>119</v>
      </c>
      <c r="F97" s="4">
        <v>8.2488165445665445</v>
      </c>
      <c r="G97" s="1">
        <v>8</v>
      </c>
    </row>
    <row r="98" spans="1:7" x14ac:dyDescent="0.3">
      <c r="A98" s="1">
        <v>22031347</v>
      </c>
      <c r="B98" t="s">
        <v>265</v>
      </c>
      <c r="C98" s="3" t="s">
        <v>118</v>
      </c>
      <c r="D98" s="3" t="s">
        <v>381</v>
      </c>
      <c r="E98" s="1" t="s">
        <v>236</v>
      </c>
      <c r="F98" s="1">
        <v>10</v>
      </c>
      <c r="G98" s="1">
        <v>0</v>
      </c>
    </row>
    <row r="99" spans="1:7" x14ac:dyDescent="0.3">
      <c r="A99" s="1">
        <v>21030496</v>
      </c>
      <c r="B99" t="s">
        <v>380</v>
      </c>
      <c r="C99" s="3" t="s">
        <v>118</v>
      </c>
      <c r="D99" s="3" t="s">
        <v>381</v>
      </c>
      <c r="E99" s="1" t="s">
        <v>236</v>
      </c>
      <c r="F99" s="1">
        <v>10</v>
      </c>
      <c r="G99" s="1">
        <v>0</v>
      </c>
    </row>
    <row r="100" spans="1:7" x14ac:dyDescent="0.3">
      <c r="A100" s="1">
        <v>21030762</v>
      </c>
      <c r="B100" t="s">
        <v>382</v>
      </c>
      <c r="C100" s="3" t="s">
        <v>117</v>
      </c>
      <c r="D100" s="3" t="s">
        <v>381</v>
      </c>
      <c r="E100" s="1" t="s">
        <v>236</v>
      </c>
      <c r="F100" s="1">
        <v>10</v>
      </c>
      <c r="G100" s="1">
        <v>0</v>
      </c>
    </row>
    <row r="101" spans="1:7" x14ac:dyDescent="0.3">
      <c r="A101" s="1">
        <v>20030380</v>
      </c>
      <c r="B101" t="s">
        <v>383</v>
      </c>
      <c r="C101" s="3" t="s">
        <v>118</v>
      </c>
      <c r="D101" s="3" t="s">
        <v>381</v>
      </c>
      <c r="E101" s="1" t="s">
        <v>236</v>
      </c>
      <c r="F101" s="1">
        <v>10</v>
      </c>
      <c r="G101" s="1">
        <v>0</v>
      </c>
    </row>
    <row r="102" spans="1:7" x14ac:dyDescent="0.3">
      <c r="E102" s="1"/>
      <c r="F102" s="1"/>
      <c r="G102" s="1"/>
    </row>
    <row r="103" spans="1:7" x14ac:dyDescent="0.3">
      <c r="E103" s="1"/>
      <c r="F103" s="1"/>
      <c r="G103" s="1"/>
    </row>
    <row r="104" spans="1:7" x14ac:dyDescent="0.3">
      <c r="E104" s="1"/>
      <c r="F104" s="1"/>
      <c r="G104" s="1"/>
    </row>
    <row r="105" spans="1:7" x14ac:dyDescent="0.3">
      <c r="E105" s="1"/>
      <c r="F105" s="1"/>
      <c r="G105" s="1"/>
    </row>
    <row r="106" spans="1:7" x14ac:dyDescent="0.3">
      <c r="E106" s="1"/>
      <c r="F106" s="1"/>
      <c r="G106" s="1"/>
    </row>
    <row r="107" spans="1:7" x14ac:dyDescent="0.3">
      <c r="E107" s="1"/>
      <c r="F107" s="1"/>
      <c r="G107" s="1"/>
    </row>
    <row r="108" spans="1:7" x14ac:dyDescent="0.3">
      <c r="E108" s="1"/>
      <c r="F108" s="1"/>
      <c r="G108" s="1"/>
    </row>
    <row r="109" spans="1:7" x14ac:dyDescent="0.3">
      <c r="E109" s="1"/>
      <c r="F109" s="1"/>
      <c r="G109" s="1"/>
    </row>
    <row r="110" spans="1:7" x14ac:dyDescent="0.3">
      <c r="E110" s="1"/>
      <c r="F110" s="1"/>
      <c r="G110" s="1"/>
    </row>
    <row r="111" spans="1:7" x14ac:dyDescent="0.3">
      <c r="E111" s="1"/>
      <c r="F111" s="1"/>
      <c r="G111" s="1"/>
    </row>
    <row r="112" spans="1:7" x14ac:dyDescent="0.3">
      <c r="E112" s="1"/>
      <c r="F112" s="1"/>
      <c r="G112" s="1"/>
    </row>
    <row r="113" spans="5:7" x14ac:dyDescent="0.3">
      <c r="E113" s="1"/>
      <c r="F113" s="1"/>
      <c r="G113" s="1"/>
    </row>
    <row r="114" spans="5:7" x14ac:dyDescent="0.3">
      <c r="E114" s="1"/>
      <c r="F114" s="1"/>
      <c r="G114" s="1"/>
    </row>
    <row r="115" spans="5:7" x14ac:dyDescent="0.3">
      <c r="E115" s="1"/>
      <c r="F115" s="1"/>
      <c r="G115" s="1"/>
    </row>
    <row r="116" spans="5:7" x14ac:dyDescent="0.3">
      <c r="E116" s="1"/>
      <c r="F116" s="1"/>
      <c r="G116" s="1"/>
    </row>
    <row r="117" spans="5:7" x14ac:dyDescent="0.3">
      <c r="E117" s="1"/>
      <c r="F117" s="1"/>
      <c r="G117" s="1"/>
    </row>
    <row r="118" spans="5:7" x14ac:dyDescent="0.3">
      <c r="E118" s="1"/>
      <c r="F118" s="1"/>
      <c r="G118" s="1"/>
    </row>
    <row r="119" spans="5:7" x14ac:dyDescent="0.3">
      <c r="E119" s="1"/>
      <c r="F119" s="1"/>
      <c r="G119" s="1"/>
    </row>
    <row r="120" spans="5:7" x14ac:dyDescent="0.3">
      <c r="E120" s="1"/>
      <c r="F120" s="1"/>
      <c r="G120" s="1"/>
    </row>
    <row r="121" spans="5:7" x14ac:dyDescent="0.3">
      <c r="E121" s="1"/>
      <c r="F121" s="1"/>
      <c r="G121" s="1"/>
    </row>
    <row r="122" spans="5:7" x14ac:dyDescent="0.3">
      <c r="E122" s="1"/>
      <c r="F122" s="1"/>
      <c r="G122" s="1"/>
    </row>
    <row r="123" spans="5:7" x14ac:dyDescent="0.3">
      <c r="E123" s="1"/>
      <c r="F123" s="1"/>
      <c r="G123" s="1"/>
    </row>
    <row r="124" spans="5:7" x14ac:dyDescent="0.3">
      <c r="E124" s="1"/>
      <c r="F124" s="1"/>
      <c r="G124" s="1"/>
    </row>
    <row r="125" spans="5:7" x14ac:dyDescent="0.3">
      <c r="E125" s="1"/>
      <c r="F125" s="1"/>
      <c r="G125" s="1"/>
    </row>
    <row r="126" spans="5:7" x14ac:dyDescent="0.3">
      <c r="E126" s="1"/>
      <c r="F126" s="1"/>
      <c r="G126" s="1"/>
    </row>
    <row r="127" spans="5:7" x14ac:dyDescent="0.3">
      <c r="E127" s="1"/>
      <c r="F127" s="1"/>
      <c r="G127" s="1"/>
    </row>
    <row r="128" spans="5:7" x14ac:dyDescent="0.3">
      <c r="E128" s="1"/>
      <c r="F128" s="1"/>
      <c r="G128" s="1"/>
    </row>
    <row r="129" spans="5:7" x14ac:dyDescent="0.3">
      <c r="E129" s="1"/>
      <c r="F129" s="1"/>
      <c r="G129" s="1"/>
    </row>
    <row r="130" spans="5:7" x14ac:dyDescent="0.3">
      <c r="E130" s="1"/>
      <c r="F130" s="1"/>
      <c r="G130" s="1"/>
    </row>
    <row r="131" spans="5:7" x14ac:dyDescent="0.3">
      <c r="E131" s="1"/>
      <c r="F131" s="1"/>
      <c r="G131" s="1"/>
    </row>
    <row r="132" spans="5:7" x14ac:dyDescent="0.3">
      <c r="E132" s="1"/>
      <c r="F132" s="1"/>
      <c r="G132" s="1"/>
    </row>
    <row r="133" spans="5:7" x14ac:dyDescent="0.3">
      <c r="E133" s="1"/>
      <c r="F133" s="1"/>
      <c r="G133" s="1"/>
    </row>
    <row r="134" spans="5:7" x14ac:dyDescent="0.3">
      <c r="E134" s="1"/>
      <c r="F134" s="1"/>
      <c r="G134" s="1"/>
    </row>
    <row r="135" spans="5:7" x14ac:dyDescent="0.3">
      <c r="E135" s="1"/>
      <c r="F135" s="1"/>
      <c r="G135" s="1"/>
    </row>
    <row r="136" spans="5:7" x14ac:dyDescent="0.3">
      <c r="E136" s="1"/>
      <c r="F136" s="1"/>
      <c r="G136" s="1"/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38F3-7B6B-4C2F-87E2-24085B8640B3}">
  <dimension ref="A1:G136"/>
  <sheetViews>
    <sheetView tabSelected="1" workbookViewId="0">
      <pane ySplit="1" topLeftCell="A68" activePane="bottomLeft" state="frozen"/>
      <selection pane="bottomLeft" activeCell="G91" sqref="G91"/>
    </sheetView>
  </sheetViews>
  <sheetFormatPr baseColWidth="10" defaultRowHeight="14.4" x14ac:dyDescent="0.3"/>
  <cols>
    <col min="1" max="1" width="11.5546875" style="1"/>
    <col min="2" max="2" width="44.21875" bestFit="1" customWidth="1"/>
    <col min="3" max="4" width="11.5546875" style="3"/>
    <col min="6" max="6" width="12.6640625" bestFit="1" customWidth="1"/>
  </cols>
  <sheetData>
    <row r="1" spans="1:7" s="2" customFormat="1" x14ac:dyDescent="0.3">
      <c r="A1" s="2" t="s">
        <v>87</v>
      </c>
      <c r="B1" s="2" t="s">
        <v>88</v>
      </c>
      <c r="C1" s="2" t="s">
        <v>89</v>
      </c>
      <c r="D1" s="2" t="s">
        <v>120</v>
      </c>
      <c r="E1" s="2" t="s">
        <v>91</v>
      </c>
      <c r="F1" s="2" t="s">
        <v>90</v>
      </c>
      <c r="G1" s="2" t="s">
        <v>150</v>
      </c>
    </row>
    <row r="2" spans="1:7" x14ac:dyDescent="0.3">
      <c r="A2" s="1">
        <v>24033441</v>
      </c>
      <c r="B2" t="s">
        <v>384</v>
      </c>
      <c r="C2" s="3" t="s">
        <v>117</v>
      </c>
      <c r="D2" s="1" t="s">
        <v>410</v>
      </c>
      <c r="E2" s="1" t="s">
        <v>409</v>
      </c>
      <c r="F2" s="4">
        <v>8.4702380952380949</v>
      </c>
      <c r="G2" s="1">
        <v>3</v>
      </c>
    </row>
    <row r="3" spans="1:7" x14ac:dyDescent="0.3">
      <c r="A3" s="1">
        <v>24033586</v>
      </c>
      <c r="B3" t="s">
        <v>385</v>
      </c>
      <c r="C3" s="3" t="s">
        <v>118</v>
      </c>
      <c r="D3" s="1" t="s">
        <v>410</v>
      </c>
      <c r="E3" s="1" t="s">
        <v>409</v>
      </c>
      <c r="F3" s="4">
        <v>9.9904761904761905</v>
      </c>
      <c r="G3" s="1">
        <v>1</v>
      </c>
    </row>
    <row r="4" spans="1:7" x14ac:dyDescent="0.3">
      <c r="A4" s="1">
        <v>24033161</v>
      </c>
      <c r="B4" t="s">
        <v>386</v>
      </c>
      <c r="C4" s="3" t="s">
        <v>118</v>
      </c>
      <c r="D4" s="1" t="s">
        <v>410</v>
      </c>
      <c r="E4" s="1" t="s">
        <v>409</v>
      </c>
      <c r="F4" s="4">
        <v>8.0238095238095237</v>
      </c>
      <c r="G4" s="1">
        <v>2</v>
      </c>
    </row>
    <row r="5" spans="1:7" x14ac:dyDescent="0.3">
      <c r="A5" s="1">
        <v>24033450</v>
      </c>
      <c r="B5" t="s">
        <v>387</v>
      </c>
      <c r="C5" s="3" t="s">
        <v>118</v>
      </c>
      <c r="D5" s="1" t="s">
        <v>410</v>
      </c>
      <c r="E5" s="1" t="s">
        <v>409</v>
      </c>
      <c r="F5" s="4">
        <v>9</v>
      </c>
      <c r="G5" s="1">
        <v>2</v>
      </c>
    </row>
    <row r="6" spans="1:7" x14ac:dyDescent="0.3">
      <c r="A6" s="1">
        <v>24033384</v>
      </c>
      <c r="B6" t="s">
        <v>388</v>
      </c>
      <c r="C6" s="3" t="s">
        <v>117</v>
      </c>
      <c r="D6" s="1" t="s">
        <v>410</v>
      </c>
      <c r="E6" s="1" t="s">
        <v>409</v>
      </c>
      <c r="F6" s="4">
        <v>7.0345238095238098</v>
      </c>
      <c r="G6" s="1">
        <v>12</v>
      </c>
    </row>
    <row r="7" spans="1:7" x14ac:dyDescent="0.3">
      <c r="A7" s="1">
        <v>24033611</v>
      </c>
      <c r="B7" t="s">
        <v>389</v>
      </c>
      <c r="C7" s="3" t="s">
        <v>117</v>
      </c>
      <c r="D7" s="1" t="s">
        <v>410</v>
      </c>
      <c r="E7" s="1" t="s">
        <v>409</v>
      </c>
      <c r="F7" s="4">
        <v>8.9916666666666654</v>
      </c>
      <c r="G7" s="1">
        <v>3</v>
      </c>
    </row>
    <row r="8" spans="1:7" x14ac:dyDescent="0.3">
      <c r="A8" s="1">
        <v>24033129</v>
      </c>
      <c r="B8" t="s">
        <v>390</v>
      </c>
      <c r="C8" s="3" t="s">
        <v>118</v>
      </c>
      <c r="D8" s="1" t="s">
        <v>410</v>
      </c>
      <c r="E8" s="1" t="s">
        <v>409</v>
      </c>
      <c r="F8" s="4">
        <v>10</v>
      </c>
      <c r="G8" s="1">
        <v>0</v>
      </c>
    </row>
    <row r="9" spans="1:7" x14ac:dyDescent="0.3">
      <c r="A9" s="1">
        <v>24033036</v>
      </c>
      <c r="B9" t="s">
        <v>391</v>
      </c>
      <c r="C9" s="3" t="s">
        <v>117</v>
      </c>
      <c r="D9" s="1" t="s">
        <v>410</v>
      </c>
      <c r="E9" s="1" t="s">
        <v>409</v>
      </c>
      <c r="F9" s="4">
        <v>10.00357142857143</v>
      </c>
      <c r="G9" s="1">
        <v>0</v>
      </c>
    </row>
    <row r="10" spans="1:7" x14ac:dyDescent="0.3">
      <c r="A10" s="1">
        <v>24033306</v>
      </c>
      <c r="B10" t="s">
        <v>392</v>
      </c>
      <c r="C10" s="3" t="s">
        <v>118</v>
      </c>
      <c r="D10" s="1" t="s">
        <v>410</v>
      </c>
      <c r="E10" s="1" t="s">
        <v>409</v>
      </c>
      <c r="F10" s="4">
        <v>8.0250000000000004</v>
      </c>
      <c r="G10" s="1">
        <v>1</v>
      </c>
    </row>
    <row r="11" spans="1:7" x14ac:dyDescent="0.3">
      <c r="A11" s="1">
        <v>24033244</v>
      </c>
      <c r="B11" t="s">
        <v>393</v>
      </c>
      <c r="C11" s="3" t="s">
        <v>117</v>
      </c>
      <c r="D11" s="1" t="s">
        <v>410</v>
      </c>
      <c r="E11" s="1" t="s">
        <v>409</v>
      </c>
      <c r="F11" s="4">
        <v>10.025</v>
      </c>
      <c r="G11" s="1">
        <v>0</v>
      </c>
    </row>
    <row r="12" spans="1:7" x14ac:dyDescent="0.3">
      <c r="A12" s="1">
        <v>24033460</v>
      </c>
      <c r="B12" t="s">
        <v>394</v>
      </c>
      <c r="C12" s="3" t="s">
        <v>117</v>
      </c>
      <c r="D12" s="1" t="s">
        <v>410</v>
      </c>
      <c r="E12" s="1" t="s">
        <v>409</v>
      </c>
      <c r="F12" s="4">
        <v>9.0249999999999986</v>
      </c>
      <c r="G12" s="1">
        <v>0</v>
      </c>
    </row>
    <row r="13" spans="1:7" x14ac:dyDescent="0.3">
      <c r="A13" s="1">
        <v>24033435</v>
      </c>
      <c r="B13" t="s">
        <v>395</v>
      </c>
      <c r="C13" s="3" t="s">
        <v>117</v>
      </c>
      <c r="D13" s="1" t="s">
        <v>410</v>
      </c>
      <c r="E13" s="1" t="s">
        <v>409</v>
      </c>
      <c r="F13" s="4">
        <v>10.016666666666667</v>
      </c>
      <c r="G13" s="1">
        <v>4</v>
      </c>
    </row>
    <row r="14" spans="1:7" x14ac:dyDescent="0.3">
      <c r="A14" s="1">
        <v>24033330</v>
      </c>
      <c r="B14" t="s">
        <v>396</v>
      </c>
      <c r="C14" s="3" t="s">
        <v>118</v>
      </c>
      <c r="D14" s="1" t="s">
        <v>410</v>
      </c>
      <c r="E14" s="1" t="s">
        <v>409</v>
      </c>
      <c r="F14" s="4">
        <v>9.0035714285714281</v>
      </c>
      <c r="G14" s="1">
        <v>3</v>
      </c>
    </row>
    <row r="15" spans="1:7" x14ac:dyDescent="0.3">
      <c r="A15" s="1">
        <v>24032968</v>
      </c>
      <c r="B15" t="s">
        <v>397</v>
      </c>
      <c r="C15" s="3" t="s">
        <v>118</v>
      </c>
      <c r="D15" s="1" t="s">
        <v>410</v>
      </c>
      <c r="E15" s="1" t="s">
        <v>409</v>
      </c>
      <c r="F15" s="4">
        <v>10.025</v>
      </c>
      <c r="G15" s="1">
        <v>0</v>
      </c>
    </row>
    <row r="16" spans="1:7" x14ac:dyDescent="0.3">
      <c r="A16" s="1">
        <v>24033229</v>
      </c>
      <c r="B16" t="s">
        <v>398</v>
      </c>
      <c r="C16" s="3" t="s">
        <v>117</v>
      </c>
      <c r="D16" s="1" t="s">
        <v>410</v>
      </c>
      <c r="E16" s="1" t="s">
        <v>409</v>
      </c>
      <c r="F16" s="4">
        <v>7.4547619047619049</v>
      </c>
      <c r="G16" s="1">
        <v>8</v>
      </c>
    </row>
    <row r="17" spans="1:7" x14ac:dyDescent="0.3">
      <c r="A17" s="1">
        <v>24033143</v>
      </c>
      <c r="B17" t="s">
        <v>399</v>
      </c>
      <c r="C17" s="3" t="s">
        <v>117</v>
      </c>
      <c r="D17" s="1" t="s">
        <v>410</v>
      </c>
      <c r="E17" s="1" t="s">
        <v>409</v>
      </c>
      <c r="F17" s="4">
        <v>9.5250000000000004</v>
      </c>
      <c r="G17" s="1">
        <v>0</v>
      </c>
    </row>
    <row r="18" spans="1:7" x14ac:dyDescent="0.3">
      <c r="A18" s="1">
        <v>24033421</v>
      </c>
      <c r="B18" t="s">
        <v>400</v>
      </c>
      <c r="C18" s="3" t="s">
        <v>117</v>
      </c>
      <c r="D18" s="1" t="s">
        <v>410</v>
      </c>
      <c r="E18" s="1" t="s">
        <v>409</v>
      </c>
      <c r="F18" s="4">
        <v>9.9749999999999996</v>
      </c>
      <c r="G18" s="1">
        <v>1</v>
      </c>
    </row>
    <row r="19" spans="1:7" x14ac:dyDescent="0.3">
      <c r="A19" s="1">
        <v>24033308</v>
      </c>
      <c r="B19" t="s">
        <v>401</v>
      </c>
      <c r="C19" s="3" t="s">
        <v>117</v>
      </c>
      <c r="D19" s="1" t="s">
        <v>410</v>
      </c>
      <c r="E19" s="1" t="s">
        <v>409</v>
      </c>
      <c r="F19" s="4">
        <v>9.0238095238095237</v>
      </c>
      <c r="G19" s="1">
        <v>5</v>
      </c>
    </row>
    <row r="20" spans="1:7" x14ac:dyDescent="0.3">
      <c r="A20" s="1">
        <v>24033356</v>
      </c>
      <c r="B20" t="s">
        <v>402</v>
      </c>
      <c r="C20" s="3" t="s">
        <v>117</v>
      </c>
      <c r="D20" s="1" t="s">
        <v>410</v>
      </c>
      <c r="E20" s="1" t="s">
        <v>409</v>
      </c>
      <c r="F20" s="4">
        <v>10.003571428571428</v>
      </c>
      <c r="G20" s="1">
        <v>3</v>
      </c>
    </row>
    <row r="21" spans="1:7" x14ac:dyDescent="0.3">
      <c r="A21" s="1">
        <v>24033191</v>
      </c>
      <c r="B21" t="s">
        <v>403</v>
      </c>
      <c r="C21" s="3" t="s">
        <v>118</v>
      </c>
      <c r="D21" s="1" t="s">
        <v>410</v>
      </c>
      <c r="E21" s="1" t="s">
        <v>409</v>
      </c>
      <c r="F21" s="4">
        <v>8.4785714285714295</v>
      </c>
      <c r="G21" s="1">
        <v>1</v>
      </c>
    </row>
    <row r="22" spans="1:7" x14ac:dyDescent="0.3">
      <c r="A22" s="1">
        <v>24033226</v>
      </c>
      <c r="B22" t="s">
        <v>404</v>
      </c>
      <c r="C22" s="3" t="s">
        <v>118</v>
      </c>
      <c r="D22" s="1" t="s">
        <v>410</v>
      </c>
      <c r="E22" s="1" t="s">
        <v>409</v>
      </c>
      <c r="F22" s="4">
        <v>10</v>
      </c>
      <c r="G22" s="1">
        <v>0</v>
      </c>
    </row>
    <row r="23" spans="1:7" x14ac:dyDescent="0.3">
      <c r="A23" s="1">
        <v>24033376</v>
      </c>
      <c r="B23" t="s">
        <v>405</v>
      </c>
      <c r="C23" s="3" t="s">
        <v>118</v>
      </c>
      <c r="D23" s="1" t="s">
        <v>410</v>
      </c>
      <c r="E23" s="1" t="s">
        <v>409</v>
      </c>
      <c r="F23" s="4">
        <v>10.036904761904761</v>
      </c>
      <c r="G23" s="1">
        <v>3</v>
      </c>
    </row>
    <row r="24" spans="1:7" x14ac:dyDescent="0.3">
      <c r="A24" s="1">
        <v>24032949</v>
      </c>
      <c r="B24" t="s">
        <v>406</v>
      </c>
      <c r="C24" s="3" t="s">
        <v>117</v>
      </c>
      <c r="D24" s="1" t="s">
        <v>410</v>
      </c>
      <c r="E24" s="1" t="s">
        <v>409</v>
      </c>
      <c r="F24" s="4">
        <v>9.9535714285714292</v>
      </c>
      <c r="G24" s="1">
        <v>0</v>
      </c>
    </row>
    <row r="25" spans="1:7" x14ac:dyDescent="0.3">
      <c r="A25" s="1">
        <v>24032898</v>
      </c>
      <c r="B25" t="s">
        <v>407</v>
      </c>
      <c r="C25" s="3" t="s">
        <v>118</v>
      </c>
      <c r="D25" s="1" t="s">
        <v>410</v>
      </c>
      <c r="E25" s="1" t="s">
        <v>409</v>
      </c>
      <c r="F25" s="4">
        <v>5.0309523809523808</v>
      </c>
      <c r="G25" s="1">
        <v>11</v>
      </c>
    </row>
    <row r="26" spans="1:7" x14ac:dyDescent="0.3">
      <c r="A26" s="1">
        <v>24033096</v>
      </c>
      <c r="B26" t="s">
        <v>408</v>
      </c>
      <c r="C26" s="3" t="s">
        <v>118</v>
      </c>
      <c r="D26" s="1" t="s">
        <v>410</v>
      </c>
      <c r="E26" s="1" t="s">
        <v>409</v>
      </c>
      <c r="F26" s="4">
        <v>8.9750000000000014</v>
      </c>
      <c r="G26" s="1">
        <v>2</v>
      </c>
    </row>
    <row r="27" spans="1:7" x14ac:dyDescent="0.3">
      <c r="A27" s="1">
        <v>24032989</v>
      </c>
      <c r="B27" t="s">
        <v>411</v>
      </c>
      <c r="C27" s="3" t="s">
        <v>117</v>
      </c>
      <c r="D27" s="1" t="s">
        <v>434</v>
      </c>
      <c r="E27" s="1" t="s">
        <v>409</v>
      </c>
      <c r="F27" s="4">
        <v>8.9500000000000011</v>
      </c>
      <c r="G27" s="1">
        <v>0</v>
      </c>
    </row>
    <row r="28" spans="1:7" x14ac:dyDescent="0.3">
      <c r="A28" s="1">
        <v>24033522</v>
      </c>
      <c r="B28" t="s">
        <v>412</v>
      </c>
      <c r="C28" s="3" t="s">
        <v>118</v>
      </c>
      <c r="D28" s="1" t="s">
        <v>434</v>
      </c>
      <c r="E28" s="1" t="s">
        <v>409</v>
      </c>
      <c r="F28" s="4">
        <v>10.025</v>
      </c>
      <c r="G28" s="1">
        <v>1</v>
      </c>
    </row>
    <row r="29" spans="1:7" x14ac:dyDescent="0.3">
      <c r="A29" s="1">
        <v>24032904</v>
      </c>
      <c r="B29" t="s">
        <v>413</v>
      </c>
      <c r="C29" s="3" t="s">
        <v>117</v>
      </c>
      <c r="D29" s="1" t="s">
        <v>434</v>
      </c>
      <c r="E29" s="1" t="s">
        <v>409</v>
      </c>
      <c r="F29" s="4">
        <v>5.0083333333333329</v>
      </c>
      <c r="G29" s="1">
        <v>12</v>
      </c>
    </row>
    <row r="30" spans="1:7" x14ac:dyDescent="0.3">
      <c r="A30" s="1">
        <v>24032939</v>
      </c>
      <c r="B30" t="s">
        <v>414</v>
      </c>
      <c r="C30" s="3" t="s">
        <v>117</v>
      </c>
      <c r="D30" s="1" t="s">
        <v>434</v>
      </c>
      <c r="E30" s="1" t="s">
        <v>409</v>
      </c>
      <c r="F30" s="4">
        <v>9.9499999999999993</v>
      </c>
      <c r="G30" s="1">
        <v>2</v>
      </c>
    </row>
    <row r="31" spans="1:7" x14ac:dyDescent="0.3">
      <c r="A31" s="1">
        <v>24033176</v>
      </c>
      <c r="B31" t="s">
        <v>415</v>
      </c>
      <c r="C31" s="3" t="s">
        <v>118</v>
      </c>
      <c r="D31" s="1" t="s">
        <v>434</v>
      </c>
      <c r="E31" s="1" t="s">
        <v>409</v>
      </c>
      <c r="F31" s="4">
        <v>10.025</v>
      </c>
      <c r="G31" s="1">
        <v>2</v>
      </c>
    </row>
    <row r="32" spans="1:7" x14ac:dyDescent="0.3">
      <c r="A32" s="1">
        <v>24033430</v>
      </c>
      <c r="B32" t="s">
        <v>416</v>
      </c>
      <c r="C32" s="3" t="s">
        <v>117</v>
      </c>
      <c r="D32" s="1" t="s">
        <v>434</v>
      </c>
      <c r="E32" s="1" t="s">
        <v>409</v>
      </c>
      <c r="F32" s="4">
        <v>10</v>
      </c>
      <c r="G32" s="1">
        <v>0</v>
      </c>
    </row>
    <row r="33" spans="1:7" x14ac:dyDescent="0.3">
      <c r="A33" s="1">
        <v>24033501</v>
      </c>
      <c r="B33" t="s">
        <v>417</v>
      </c>
      <c r="C33" s="3" t="s">
        <v>117</v>
      </c>
      <c r="D33" s="1" t="s">
        <v>434</v>
      </c>
      <c r="E33" s="1" t="s">
        <v>409</v>
      </c>
      <c r="F33" s="4">
        <v>8.4916666666666654</v>
      </c>
      <c r="G33" s="1">
        <v>1</v>
      </c>
    </row>
    <row r="34" spans="1:7" x14ac:dyDescent="0.3">
      <c r="A34" s="1">
        <v>24033127</v>
      </c>
      <c r="B34" t="s">
        <v>418</v>
      </c>
      <c r="C34" s="3" t="s">
        <v>118</v>
      </c>
      <c r="D34" s="1" t="s">
        <v>434</v>
      </c>
      <c r="E34" s="1" t="s">
        <v>409</v>
      </c>
      <c r="F34" s="4">
        <v>8.0333333333333332</v>
      </c>
      <c r="G34" s="1">
        <v>3</v>
      </c>
    </row>
    <row r="35" spans="1:7" x14ac:dyDescent="0.3">
      <c r="A35" s="1">
        <v>24033117</v>
      </c>
      <c r="B35" t="s">
        <v>419</v>
      </c>
      <c r="C35" s="3" t="s">
        <v>118</v>
      </c>
      <c r="D35" s="1" t="s">
        <v>434</v>
      </c>
      <c r="E35" s="1" t="s">
        <v>409</v>
      </c>
      <c r="F35" s="4">
        <v>10.025</v>
      </c>
      <c r="G35" s="1">
        <v>0</v>
      </c>
    </row>
    <row r="36" spans="1:7" x14ac:dyDescent="0.3">
      <c r="A36" s="1">
        <v>24031533</v>
      </c>
      <c r="B36" t="s">
        <v>420</v>
      </c>
      <c r="C36" s="3" t="s">
        <v>117</v>
      </c>
      <c r="D36" s="1" t="s">
        <v>434</v>
      </c>
      <c r="E36" s="1" t="s">
        <v>409</v>
      </c>
      <c r="F36" s="4">
        <v>8.9666666666666668</v>
      </c>
      <c r="G36" s="1">
        <v>1</v>
      </c>
    </row>
    <row r="37" spans="1:7" x14ac:dyDescent="0.3">
      <c r="A37" s="1">
        <v>24033193</v>
      </c>
      <c r="B37" t="s">
        <v>421</v>
      </c>
      <c r="C37" s="3" t="s">
        <v>117</v>
      </c>
      <c r="D37" s="1" t="s">
        <v>434</v>
      </c>
      <c r="E37" s="1" t="s">
        <v>409</v>
      </c>
      <c r="F37" s="4">
        <v>8.9833333333333325</v>
      </c>
      <c r="G37" s="1">
        <v>2</v>
      </c>
    </row>
    <row r="38" spans="1:7" x14ac:dyDescent="0.3">
      <c r="A38" s="1">
        <v>24033415</v>
      </c>
      <c r="B38" t="s">
        <v>422</v>
      </c>
      <c r="C38" s="3" t="s">
        <v>117</v>
      </c>
      <c r="D38" s="1" t="s">
        <v>434</v>
      </c>
      <c r="E38" s="1" t="s">
        <v>409</v>
      </c>
      <c r="F38" s="4">
        <v>10.025</v>
      </c>
      <c r="G38" s="1">
        <v>0</v>
      </c>
    </row>
    <row r="39" spans="1:7" x14ac:dyDescent="0.3">
      <c r="A39" s="1">
        <v>24033105</v>
      </c>
      <c r="B39" t="s">
        <v>423</v>
      </c>
      <c r="C39" s="3" t="s">
        <v>117</v>
      </c>
      <c r="D39" s="1" t="s">
        <v>434</v>
      </c>
      <c r="E39" s="1" t="s">
        <v>409</v>
      </c>
      <c r="F39" s="4">
        <v>10.041666666666668</v>
      </c>
      <c r="G39" s="1">
        <v>0</v>
      </c>
    </row>
    <row r="40" spans="1:7" x14ac:dyDescent="0.3">
      <c r="A40" s="1">
        <v>24033353</v>
      </c>
      <c r="B40" t="s">
        <v>424</v>
      </c>
      <c r="C40" s="3" t="s">
        <v>117</v>
      </c>
      <c r="D40" s="1" t="s">
        <v>434</v>
      </c>
      <c r="E40" s="1" t="s">
        <v>409</v>
      </c>
      <c r="F40" s="4">
        <v>9.0333333333333332</v>
      </c>
      <c r="G40" s="1">
        <v>1</v>
      </c>
    </row>
    <row r="41" spans="1:7" x14ac:dyDescent="0.3">
      <c r="A41" s="1">
        <v>24033190</v>
      </c>
      <c r="B41" t="s">
        <v>425</v>
      </c>
      <c r="C41" s="3" t="s">
        <v>118</v>
      </c>
      <c r="D41" s="1" t="s">
        <v>434</v>
      </c>
      <c r="E41" s="1" t="s">
        <v>409</v>
      </c>
      <c r="F41" s="4">
        <v>9.9749999999999996</v>
      </c>
      <c r="G41" s="1">
        <v>0</v>
      </c>
    </row>
    <row r="42" spans="1:7" x14ac:dyDescent="0.3">
      <c r="A42" s="1">
        <v>24033121</v>
      </c>
      <c r="B42" t="s">
        <v>426</v>
      </c>
      <c r="C42" s="3" t="s">
        <v>117</v>
      </c>
      <c r="D42" s="1" t="s">
        <v>434</v>
      </c>
      <c r="E42" s="1" t="s">
        <v>409</v>
      </c>
      <c r="F42" s="4">
        <v>8.9749999999999996</v>
      </c>
      <c r="G42" s="1">
        <v>1</v>
      </c>
    </row>
    <row r="43" spans="1:7" x14ac:dyDescent="0.3">
      <c r="A43" s="1">
        <v>24033334</v>
      </c>
      <c r="B43" t="s">
        <v>427</v>
      </c>
      <c r="C43" s="3" t="s">
        <v>117</v>
      </c>
      <c r="D43" s="1" t="s">
        <v>434</v>
      </c>
      <c r="E43" s="1" t="s">
        <v>409</v>
      </c>
      <c r="F43" s="4">
        <v>8.9666666666666668</v>
      </c>
      <c r="G43" s="1">
        <v>0</v>
      </c>
    </row>
    <row r="44" spans="1:7" x14ac:dyDescent="0.3">
      <c r="A44" s="1">
        <v>24033141</v>
      </c>
      <c r="B44" t="s">
        <v>428</v>
      </c>
      <c r="C44" s="3" t="s">
        <v>118</v>
      </c>
      <c r="D44" s="1" t="s">
        <v>434</v>
      </c>
      <c r="E44" s="1" t="s">
        <v>409</v>
      </c>
      <c r="F44" s="4">
        <v>9.9499999999999993</v>
      </c>
      <c r="G44" s="1">
        <v>1</v>
      </c>
    </row>
    <row r="45" spans="1:7" x14ac:dyDescent="0.3">
      <c r="A45" s="1">
        <v>24033011</v>
      </c>
      <c r="B45" t="s">
        <v>429</v>
      </c>
      <c r="C45" s="3" t="s">
        <v>117</v>
      </c>
      <c r="D45" s="1" t="s">
        <v>434</v>
      </c>
      <c r="E45" s="1" t="s">
        <v>409</v>
      </c>
      <c r="F45" s="4">
        <v>10</v>
      </c>
      <c r="G45" s="1">
        <v>0</v>
      </c>
    </row>
    <row r="46" spans="1:7" x14ac:dyDescent="0.3">
      <c r="A46" s="1">
        <v>24033524</v>
      </c>
      <c r="B46" t="s">
        <v>430</v>
      </c>
      <c r="C46" s="3" t="s">
        <v>118</v>
      </c>
      <c r="D46" s="1" t="s">
        <v>434</v>
      </c>
      <c r="E46" s="1" t="s">
        <v>409</v>
      </c>
      <c r="F46" s="4">
        <v>10.025</v>
      </c>
      <c r="G46" s="1">
        <v>1</v>
      </c>
    </row>
    <row r="47" spans="1:7" x14ac:dyDescent="0.3">
      <c r="A47" s="1">
        <v>24032977</v>
      </c>
      <c r="B47" t="s">
        <v>431</v>
      </c>
      <c r="C47" s="3" t="s">
        <v>117</v>
      </c>
      <c r="D47" s="1" t="s">
        <v>434</v>
      </c>
      <c r="E47" s="1" t="s">
        <v>409</v>
      </c>
      <c r="F47" s="4">
        <v>8.9666666666666668</v>
      </c>
      <c r="G47" s="1">
        <v>0</v>
      </c>
    </row>
    <row r="48" spans="1:7" x14ac:dyDescent="0.3">
      <c r="A48" s="1">
        <v>24033014</v>
      </c>
      <c r="B48" t="s">
        <v>432</v>
      </c>
      <c r="C48" s="3" t="s">
        <v>118</v>
      </c>
      <c r="D48" s="1" t="s">
        <v>434</v>
      </c>
      <c r="E48" s="1" t="s">
        <v>409</v>
      </c>
      <c r="F48" s="4">
        <v>8.9749999999999996</v>
      </c>
      <c r="G48" s="1">
        <v>0</v>
      </c>
    </row>
    <row r="49" spans="1:7" x14ac:dyDescent="0.3">
      <c r="A49" s="1">
        <v>24033417</v>
      </c>
      <c r="B49" t="s">
        <v>433</v>
      </c>
      <c r="C49" s="3" t="s">
        <v>117</v>
      </c>
      <c r="D49" s="1" t="s">
        <v>434</v>
      </c>
      <c r="E49" s="1" t="s">
        <v>409</v>
      </c>
      <c r="F49" s="4">
        <v>7.9666666666666677</v>
      </c>
      <c r="G49" s="1">
        <v>1</v>
      </c>
    </row>
    <row r="50" spans="1:7" x14ac:dyDescent="0.3">
      <c r="A50" s="1">
        <v>24033441</v>
      </c>
      <c r="B50" t="s">
        <v>384</v>
      </c>
      <c r="C50" s="3" t="s">
        <v>117</v>
      </c>
      <c r="D50" s="1" t="s">
        <v>410</v>
      </c>
      <c r="E50" s="1" t="s">
        <v>441</v>
      </c>
      <c r="F50" s="4">
        <v>8.4666666666666668</v>
      </c>
      <c r="G50" s="1">
        <v>0</v>
      </c>
    </row>
    <row r="51" spans="1:7" x14ac:dyDescent="0.3">
      <c r="A51" s="1">
        <v>24033586</v>
      </c>
      <c r="B51" t="s">
        <v>435</v>
      </c>
      <c r="C51" s="3" t="s">
        <v>118</v>
      </c>
      <c r="D51" s="1" t="s">
        <v>410</v>
      </c>
      <c r="E51" s="1" t="s">
        <v>441</v>
      </c>
      <c r="F51" s="4">
        <v>10</v>
      </c>
      <c r="G51" s="1">
        <v>0</v>
      </c>
    </row>
    <row r="52" spans="1:7" x14ac:dyDescent="0.3">
      <c r="A52" s="1">
        <v>24033161</v>
      </c>
      <c r="B52" t="s">
        <v>436</v>
      </c>
      <c r="C52" s="3" t="s">
        <v>118</v>
      </c>
      <c r="D52" s="1" t="s">
        <v>410</v>
      </c>
      <c r="E52" s="1" t="s">
        <v>441</v>
      </c>
      <c r="F52" s="4">
        <v>8.9711111111111119</v>
      </c>
      <c r="G52" s="1">
        <v>0</v>
      </c>
    </row>
    <row r="53" spans="1:7" x14ac:dyDescent="0.3">
      <c r="A53" s="1">
        <v>24033450</v>
      </c>
      <c r="B53" t="s">
        <v>387</v>
      </c>
      <c r="C53" s="3" t="s">
        <v>118</v>
      </c>
      <c r="D53" s="1" t="s">
        <v>410</v>
      </c>
      <c r="E53" s="1" t="s">
        <v>441</v>
      </c>
      <c r="F53" s="4">
        <v>9.4599999999999991</v>
      </c>
      <c r="G53" s="1">
        <v>0</v>
      </c>
    </row>
    <row r="54" spans="1:7" x14ac:dyDescent="0.3">
      <c r="A54" s="1">
        <v>24033384</v>
      </c>
      <c r="B54" t="s">
        <v>437</v>
      </c>
      <c r="C54" s="3" t="s">
        <v>117</v>
      </c>
      <c r="D54" s="1" t="s">
        <v>410</v>
      </c>
      <c r="E54" s="1" t="s">
        <v>441</v>
      </c>
      <c r="F54" s="4">
        <v>7.0098290598290598</v>
      </c>
      <c r="G54" s="1">
        <v>8</v>
      </c>
    </row>
    <row r="55" spans="1:7" x14ac:dyDescent="0.3">
      <c r="A55" s="1">
        <v>24033611</v>
      </c>
      <c r="B55" t="s">
        <v>438</v>
      </c>
      <c r="C55" s="3" t="s">
        <v>117</v>
      </c>
      <c r="D55" s="1" t="s">
        <v>410</v>
      </c>
      <c r="E55" s="1" t="s">
        <v>441</v>
      </c>
      <c r="F55" s="4">
        <v>9.0461538461538478</v>
      </c>
      <c r="G55" s="1">
        <v>3</v>
      </c>
    </row>
    <row r="56" spans="1:7" x14ac:dyDescent="0.3">
      <c r="A56" s="1">
        <v>24033129</v>
      </c>
      <c r="B56" t="s">
        <v>390</v>
      </c>
      <c r="C56" s="3" t="s">
        <v>118</v>
      </c>
      <c r="D56" s="1" t="s">
        <v>410</v>
      </c>
      <c r="E56" s="1" t="s">
        <v>441</v>
      </c>
      <c r="F56" s="4">
        <v>9.9666666666666668</v>
      </c>
      <c r="G56" s="1">
        <v>0</v>
      </c>
    </row>
    <row r="57" spans="1:7" x14ac:dyDescent="0.3">
      <c r="A57" s="1">
        <v>24033036</v>
      </c>
      <c r="B57" t="s">
        <v>391</v>
      </c>
      <c r="C57" s="3" t="s">
        <v>117</v>
      </c>
      <c r="D57" s="1" t="s">
        <v>410</v>
      </c>
      <c r="E57" s="1" t="s">
        <v>441</v>
      </c>
      <c r="F57" s="4">
        <v>9.9599999999999991</v>
      </c>
      <c r="G57" s="1">
        <v>0</v>
      </c>
    </row>
    <row r="58" spans="1:7" x14ac:dyDescent="0.3">
      <c r="A58" s="1">
        <v>24033306</v>
      </c>
      <c r="B58" t="s">
        <v>392</v>
      </c>
      <c r="C58" s="3" t="s">
        <v>118</v>
      </c>
      <c r="D58" s="1" t="s">
        <v>410</v>
      </c>
      <c r="E58" s="1" t="s">
        <v>441</v>
      </c>
      <c r="F58" s="4">
        <v>8.9984615384615392</v>
      </c>
      <c r="G58" s="1">
        <v>2</v>
      </c>
    </row>
    <row r="59" spans="1:7" x14ac:dyDescent="0.3">
      <c r="A59" s="1">
        <v>24033244</v>
      </c>
      <c r="B59" t="s">
        <v>393</v>
      </c>
      <c r="C59" s="3" t="s">
        <v>117</v>
      </c>
      <c r="D59" s="1" t="s">
        <v>410</v>
      </c>
      <c r="E59" s="1" t="s">
        <v>441</v>
      </c>
      <c r="F59" s="4">
        <v>9.5</v>
      </c>
      <c r="G59" s="1">
        <v>0</v>
      </c>
    </row>
    <row r="60" spans="1:7" x14ac:dyDescent="0.3">
      <c r="A60" s="1">
        <v>24033460</v>
      </c>
      <c r="B60" t="s">
        <v>394</v>
      </c>
      <c r="C60" s="3" t="s">
        <v>117</v>
      </c>
      <c r="D60" s="1" t="s">
        <v>410</v>
      </c>
      <c r="E60" s="1" t="s">
        <v>441</v>
      </c>
      <c r="F60" s="4">
        <v>9.9666666666666668</v>
      </c>
      <c r="G60" s="1">
        <v>0</v>
      </c>
    </row>
    <row r="61" spans="1:7" x14ac:dyDescent="0.3">
      <c r="A61" s="1">
        <v>24033435</v>
      </c>
      <c r="B61" t="s">
        <v>439</v>
      </c>
      <c r="C61" s="3" t="s">
        <v>117</v>
      </c>
      <c r="D61" s="1" t="s">
        <v>410</v>
      </c>
      <c r="E61" s="1" t="s">
        <v>441</v>
      </c>
      <c r="F61" s="4">
        <v>9.4709401709401693</v>
      </c>
      <c r="G61" s="1">
        <v>2</v>
      </c>
    </row>
    <row r="62" spans="1:7" x14ac:dyDescent="0.3">
      <c r="A62" s="1">
        <v>24033330</v>
      </c>
      <c r="B62" t="s">
        <v>396</v>
      </c>
      <c r="C62" s="3" t="s">
        <v>118</v>
      </c>
      <c r="D62" s="1" t="s">
        <v>410</v>
      </c>
      <c r="E62" s="1" t="s">
        <v>441</v>
      </c>
      <c r="F62" s="4">
        <v>9.5264957264957264</v>
      </c>
      <c r="G62" s="1">
        <v>0</v>
      </c>
    </row>
    <row r="63" spans="1:7" x14ac:dyDescent="0.3">
      <c r="A63" s="1">
        <v>24032968</v>
      </c>
      <c r="B63" t="s">
        <v>397</v>
      </c>
      <c r="C63" s="3" t="s">
        <v>118</v>
      </c>
      <c r="D63" s="1" t="s">
        <v>410</v>
      </c>
      <c r="E63" s="1" t="s">
        <v>441</v>
      </c>
      <c r="F63" s="4">
        <v>9</v>
      </c>
      <c r="G63" s="1">
        <v>1</v>
      </c>
    </row>
    <row r="64" spans="1:7" x14ac:dyDescent="0.3">
      <c r="A64" s="1">
        <v>24033229</v>
      </c>
      <c r="B64" t="s">
        <v>398</v>
      </c>
      <c r="C64" s="3" t="s">
        <v>117</v>
      </c>
      <c r="D64" s="1" t="s">
        <v>410</v>
      </c>
      <c r="E64" s="1" t="s">
        <v>441</v>
      </c>
      <c r="F64" s="4">
        <v>7.4864957264957273</v>
      </c>
      <c r="G64" s="1">
        <v>3</v>
      </c>
    </row>
    <row r="65" spans="1:7" x14ac:dyDescent="0.3">
      <c r="A65" s="1">
        <v>24033143</v>
      </c>
      <c r="B65" t="s">
        <v>399</v>
      </c>
      <c r="C65" s="3" t="s">
        <v>117</v>
      </c>
      <c r="D65" s="1" t="s">
        <v>410</v>
      </c>
      <c r="E65" s="1" t="s">
        <v>441</v>
      </c>
      <c r="F65" s="4">
        <v>9.5266666666666673</v>
      </c>
      <c r="G65" s="1">
        <v>0</v>
      </c>
    </row>
    <row r="66" spans="1:7" x14ac:dyDescent="0.3">
      <c r="A66" s="1">
        <v>24033421</v>
      </c>
      <c r="B66" t="s">
        <v>400</v>
      </c>
      <c r="C66" s="3" t="s">
        <v>117</v>
      </c>
      <c r="D66" s="1" t="s">
        <v>410</v>
      </c>
      <c r="E66" s="1" t="s">
        <v>441</v>
      </c>
      <c r="F66" s="4">
        <v>10.026666666666666</v>
      </c>
      <c r="G66" s="1">
        <v>0</v>
      </c>
    </row>
    <row r="67" spans="1:7" x14ac:dyDescent="0.3">
      <c r="A67" s="1">
        <v>24033308</v>
      </c>
      <c r="B67" t="s">
        <v>401</v>
      </c>
      <c r="C67" s="3" t="s">
        <v>117</v>
      </c>
      <c r="D67" s="1" t="s">
        <v>410</v>
      </c>
      <c r="E67" s="1" t="s">
        <v>441</v>
      </c>
      <c r="F67" s="4">
        <v>8.546153846153846</v>
      </c>
      <c r="G67" s="1">
        <v>2</v>
      </c>
    </row>
    <row r="68" spans="1:7" x14ac:dyDescent="0.3">
      <c r="A68" s="1">
        <v>24033356</v>
      </c>
      <c r="B68" t="s">
        <v>402</v>
      </c>
      <c r="C68" s="3" t="s">
        <v>117</v>
      </c>
      <c r="D68" s="1" t="s">
        <v>410</v>
      </c>
      <c r="E68" s="1" t="s">
        <v>441</v>
      </c>
      <c r="F68" s="4">
        <v>10.000854700854703</v>
      </c>
      <c r="G68" s="1">
        <v>2</v>
      </c>
    </row>
    <row r="69" spans="1:7" x14ac:dyDescent="0.3">
      <c r="A69" s="1">
        <v>24033191</v>
      </c>
      <c r="B69" t="s">
        <v>403</v>
      </c>
      <c r="C69" s="3" t="s">
        <v>118</v>
      </c>
      <c r="D69" s="1" t="s">
        <v>410</v>
      </c>
      <c r="E69" s="1" t="s">
        <v>441</v>
      </c>
      <c r="F69" s="4">
        <v>9.0307692307692307</v>
      </c>
      <c r="G69" s="1">
        <v>2</v>
      </c>
    </row>
    <row r="70" spans="1:7" x14ac:dyDescent="0.3">
      <c r="A70" s="1">
        <v>24033226</v>
      </c>
      <c r="B70" t="s">
        <v>404</v>
      </c>
      <c r="C70" s="3" t="s">
        <v>118</v>
      </c>
      <c r="D70" s="1" t="s">
        <v>410</v>
      </c>
      <c r="E70" s="1" t="s">
        <v>441</v>
      </c>
      <c r="F70" s="4">
        <v>9.966666666666665</v>
      </c>
      <c r="G70" s="1">
        <v>0</v>
      </c>
    </row>
    <row r="71" spans="1:7" x14ac:dyDescent="0.3">
      <c r="A71" s="1">
        <v>24033376</v>
      </c>
      <c r="B71" t="s">
        <v>405</v>
      </c>
      <c r="C71" s="3" t="s">
        <v>118</v>
      </c>
      <c r="D71" s="1" t="s">
        <v>410</v>
      </c>
      <c r="E71" s="1" t="s">
        <v>441</v>
      </c>
      <c r="F71" s="4">
        <v>9.5480341880341886</v>
      </c>
      <c r="G71" s="1">
        <v>4</v>
      </c>
    </row>
    <row r="72" spans="1:7" x14ac:dyDescent="0.3">
      <c r="A72" s="1">
        <v>24032949</v>
      </c>
      <c r="B72" t="s">
        <v>406</v>
      </c>
      <c r="C72" s="3" t="s">
        <v>117</v>
      </c>
      <c r="D72" s="1" t="s">
        <v>410</v>
      </c>
      <c r="E72" s="1" t="s">
        <v>441</v>
      </c>
      <c r="F72" s="4">
        <v>9.9777777777777779</v>
      </c>
      <c r="G72" s="1">
        <v>0</v>
      </c>
    </row>
    <row r="73" spans="1:7" x14ac:dyDescent="0.3">
      <c r="A73" s="1">
        <v>24032898</v>
      </c>
      <c r="B73" t="s">
        <v>440</v>
      </c>
      <c r="C73" s="3" t="s">
        <v>118</v>
      </c>
      <c r="D73" s="1" t="s">
        <v>410</v>
      </c>
      <c r="E73" s="1" t="s">
        <v>441</v>
      </c>
      <c r="F73" s="4">
        <v>5.0418803418803417</v>
      </c>
      <c r="G73" s="1">
        <v>10</v>
      </c>
    </row>
    <row r="74" spans="1:7" x14ac:dyDescent="0.3">
      <c r="A74" s="1">
        <v>24033096</v>
      </c>
      <c r="B74" t="s">
        <v>408</v>
      </c>
      <c r="C74" s="3" t="s">
        <v>118</v>
      </c>
      <c r="D74" s="1" t="s">
        <v>410</v>
      </c>
      <c r="E74" s="1" t="s">
        <v>441</v>
      </c>
      <c r="F74" s="4">
        <v>9.9777777777777779</v>
      </c>
      <c r="G74" s="1">
        <v>0</v>
      </c>
    </row>
    <row r="75" spans="1:7" x14ac:dyDescent="0.3">
      <c r="A75" s="1">
        <v>25013770</v>
      </c>
      <c r="B75" t="s">
        <v>442</v>
      </c>
      <c r="C75" s="3" t="s">
        <v>117</v>
      </c>
      <c r="D75" s="3" t="s">
        <v>235</v>
      </c>
      <c r="E75" s="1" t="s">
        <v>448</v>
      </c>
      <c r="F75" s="4">
        <v>9.0222222222222204</v>
      </c>
      <c r="G75" s="1">
        <v>0</v>
      </c>
    </row>
    <row r="76" spans="1:7" x14ac:dyDescent="0.3">
      <c r="A76" s="1">
        <v>25013788</v>
      </c>
      <c r="B76" t="s">
        <v>291</v>
      </c>
      <c r="C76" s="3" t="s">
        <v>118</v>
      </c>
      <c r="D76" s="3" t="s">
        <v>235</v>
      </c>
      <c r="E76" s="1" t="s">
        <v>448</v>
      </c>
      <c r="F76" s="4">
        <v>9.5111111111111111</v>
      </c>
      <c r="G76" s="1">
        <v>0</v>
      </c>
    </row>
    <row r="77" spans="1:7" x14ac:dyDescent="0.3">
      <c r="A77" s="1">
        <v>25013760</v>
      </c>
      <c r="B77" t="s">
        <v>292</v>
      </c>
      <c r="C77" s="3" t="s">
        <v>117</v>
      </c>
      <c r="D77" s="3" t="s">
        <v>235</v>
      </c>
      <c r="E77" s="1" t="s">
        <v>448</v>
      </c>
      <c r="F77" s="4">
        <v>8.9888888888888889</v>
      </c>
      <c r="G77" s="1">
        <v>0</v>
      </c>
    </row>
    <row r="78" spans="1:7" x14ac:dyDescent="0.3">
      <c r="A78" s="1">
        <v>25013767</v>
      </c>
      <c r="B78" t="s">
        <v>293</v>
      </c>
      <c r="C78" s="3" t="s">
        <v>118</v>
      </c>
      <c r="D78" s="3" t="s">
        <v>235</v>
      </c>
      <c r="E78" s="1" t="s">
        <v>448</v>
      </c>
      <c r="F78" s="4">
        <v>4.9555555555555557</v>
      </c>
      <c r="G78" s="1">
        <v>12</v>
      </c>
    </row>
    <row r="79" spans="1:7" x14ac:dyDescent="0.3">
      <c r="A79" s="1">
        <v>25013740</v>
      </c>
      <c r="B79" t="s">
        <v>294</v>
      </c>
      <c r="C79" s="3" t="s">
        <v>118</v>
      </c>
      <c r="D79" s="3" t="s">
        <v>235</v>
      </c>
      <c r="E79" s="1" t="s">
        <v>448</v>
      </c>
      <c r="F79" s="4">
        <v>8.4666666666666686</v>
      </c>
      <c r="G79" s="1">
        <v>0</v>
      </c>
    </row>
    <row r="80" spans="1:7" x14ac:dyDescent="0.3">
      <c r="A80" s="1">
        <v>25013035</v>
      </c>
      <c r="B80" t="s">
        <v>443</v>
      </c>
      <c r="C80" s="3" t="s">
        <v>117</v>
      </c>
      <c r="D80" s="3" t="s">
        <v>235</v>
      </c>
      <c r="E80" s="1" t="s">
        <v>448</v>
      </c>
      <c r="F80" s="4">
        <v>9.5222222222222239</v>
      </c>
      <c r="G80" s="1">
        <v>0</v>
      </c>
    </row>
    <row r="81" spans="1:7" x14ac:dyDescent="0.3">
      <c r="A81" s="1">
        <v>25013695</v>
      </c>
      <c r="B81" t="s">
        <v>444</v>
      </c>
      <c r="C81" s="3" t="s">
        <v>117</v>
      </c>
      <c r="D81" s="3" t="s">
        <v>235</v>
      </c>
      <c r="E81" s="1" t="s">
        <v>448</v>
      </c>
      <c r="F81" s="4">
        <v>10.044444444444444</v>
      </c>
      <c r="G81" s="1">
        <v>0</v>
      </c>
    </row>
    <row r="82" spans="1:7" x14ac:dyDescent="0.3">
      <c r="A82" s="1">
        <v>25013736</v>
      </c>
      <c r="B82" t="s">
        <v>297</v>
      </c>
      <c r="C82" s="3" t="s">
        <v>117</v>
      </c>
      <c r="D82" s="3" t="s">
        <v>235</v>
      </c>
      <c r="E82" s="1" t="s">
        <v>448</v>
      </c>
      <c r="F82" s="4">
        <v>8.9777777777777779</v>
      </c>
      <c r="G82" s="1">
        <v>0</v>
      </c>
    </row>
    <row r="83" spans="1:7" x14ac:dyDescent="0.3">
      <c r="A83" s="1">
        <v>25013735</v>
      </c>
      <c r="B83" t="s">
        <v>445</v>
      </c>
      <c r="C83" s="3" t="s">
        <v>117</v>
      </c>
      <c r="D83" s="3" t="s">
        <v>235</v>
      </c>
      <c r="E83" s="1" t="s">
        <v>448</v>
      </c>
      <c r="F83" s="4">
        <v>8.5333333333333332</v>
      </c>
      <c r="G83" s="1">
        <v>1</v>
      </c>
    </row>
    <row r="84" spans="1:7" x14ac:dyDescent="0.3">
      <c r="A84" s="1">
        <v>25013779</v>
      </c>
      <c r="B84" t="s">
        <v>446</v>
      </c>
      <c r="C84" s="3" t="s">
        <v>118</v>
      </c>
      <c r="D84" s="3" t="s">
        <v>235</v>
      </c>
      <c r="E84" s="1" t="s">
        <v>448</v>
      </c>
      <c r="F84" s="4">
        <v>4.9666666666666677</v>
      </c>
      <c r="G84" s="1">
        <v>10</v>
      </c>
    </row>
    <row r="85" spans="1:7" x14ac:dyDescent="0.3">
      <c r="A85" s="1">
        <v>25011687</v>
      </c>
      <c r="B85" t="s">
        <v>447</v>
      </c>
      <c r="C85" s="3" t="s">
        <v>118</v>
      </c>
      <c r="D85" s="3" t="s">
        <v>235</v>
      </c>
      <c r="E85" s="1" t="s">
        <v>448</v>
      </c>
      <c r="F85" s="4">
        <v>9.5222222222222239</v>
      </c>
      <c r="G85" s="1">
        <v>0</v>
      </c>
    </row>
    <row r="86" spans="1:7" x14ac:dyDescent="0.3">
      <c r="A86" s="1">
        <v>22030947</v>
      </c>
      <c r="B86" t="s">
        <v>146</v>
      </c>
      <c r="C86" s="3" t="s">
        <v>118</v>
      </c>
      <c r="D86" s="3" t="s">
        <v>451</v>
      </c>
      <c r="E86" s="1" t="s">
        <v>450</v>
      </c>
      <c r="F86" s="4">
        <v>8</v>
      </c>
      <c r="G86" s="1">
        <v>0</v>
      </c>
    </row>
    <row r="87" spans="1:7" x14ac:dyDescent="0.3">
      <c r="A87" s="1">
        <v>21030775</v>
      </c>
      <c r="B87" t="s">
        <v>452</v>
      </c>
      <c r="C87" s="3" t="s">
        <v>117</v>
      </c>
      <c r="D87" s="3" t="s">
        <v>449</v>
      </c>
      <c r="E87" s="1" t="s">
        <v>236</v>
      </c>
      <c r="F87" s="4">
        <v>9.5</v>
      </c>
      <c r="G87" s="1">
        <v>0</v>
      </c>
    </row>
    <row r="88" spans="1:7" x14ac:dyDescent="0.3">
      <c r="A88" s="1">
        <v>22031088</v>
      </c>
      <c r="B88" t="s">
        <v>194</v>
      </c>
      <c r="C88" s="3" t="s">
        <v>117</v>
      </c>
      <c r="D88" s="3" t="s">
        <v>449</v>
      </c>
      <c r="E88" s="1" t="s">
        <v>236</v>
      </c>
      <c r="F88" s="4">
        <v>9</v>
      </c>
      <c r="G88" s="1">
        <v>0</v>
      </c>
    </row>
    <row r="89" spans="1:7" x14ac:dyDescent="0.3">
      <c r="A89" s="1">
        <v>22010888</v>
      </c>
      <c r="B89" t="s">
        <v>453</v>
      </c>
      <c r="C89" s="3" t="s">
        <v>118</v>
      </c>
      <c r="D89" s="3" t="s">
        <v>449</v>
      </c>
      <c r="E89" s="1" t="s">
        <v>236</v>
      </c>
      <c r="F89" s="4">
        <v>10</v>
      </c>
      <c r="G89" s="1">
        <v>0</v>
      </c>
    </row>
    <row r="90" spans="1:7" x14ac:dyDescent="0.3">
      <c r="A90" s="1">
        <v>24012752</v>
      </c>
      <c r="B90" t="s">
        <v>212</v>
      </c>
      <c r="C90" s="3" t="s">
        <v>117</v>
      </c>
      <c r="D90" s="3" t="s">
        <v>449</v>
      </c>
      <c r="E90" s="1" t="s">
        <v>236</v>
      </c>
      <c r="F90" s="4">
        <v>10</v>
      </c>
      <c r="G90" s="1">
        <v>0</v>
      </c>
    </row>
    <row r="91" spans="1:7" x14ac:dyDescent="0.3">
      <c r="E91" s="1"/>
      <c r="F91" s="4"/>
      <c r="G91" s="1"/>
    </row>
    <row r="92" spans="1:7" x14ac:dyDescent="0.3">
      <c r="E92" s="1"/>
      <c r="F92" s="4"/>
      <c r="G92" s="1"/>
    </row>
    <row r="93" spans="1:7" x14ac:dyDescent="0.3">
      <c r="E93" s="1"/>
      <c r="F93" s="4"/>
      <c r="G93" s="1"/>
    </row>
    <row r="94" spans="1:7" x14ac:dyDescent="0.3">
      <c r="E94" s="1"/>
      <c r="F94" s="4"/>
      <c r="G94" s="1"/>
    </row>
    <row r="95" spans="1:7" x14ac:dyDescent="0.3">
      <c r="E95" s="1"/>
      <c r="F95" s="4"/>
      <c r="G95" s="1"/>
    </row>
    <row r="96" spans="1:7" x14ac:dyDescent="0.3">
      <c r="E96" s="1"/>
      <c r="F96" s="4"/>
      <c r="G96" s="1"/>
    </row>
    <row r="97" spans="5:7" x14ac:dyDescent="0.3">
      <c r="E97" s="1"/>
      <c r="F97" s="4"/>
      <c r="G97" s="1"/>
    </row>
    <row r="98" spans="5:7" x14ac:dyDescent="0.3">
      <c r="E98" s="1"/>
      <c r="F98" s="1"/>
      <c r="G98" s="1"/>
    </row>
    <row r="99" spans="5:7" x14ac:dyDescent="0.3">
      <c r="E99" s="1"/>
      <c r="F99" s="1"/>
      <c r="G99" s="1"/>
    </row>
    <row r="100" spans="5:7" x14ac:dyDescent="0.3">
      <c r="E100" s="1"/>
      <c r="F100" s="1"/>
      <c r="G100" s="1"/>
    </row>
    <row r="101" spans="5:7" x14ac:dyDescent="0.3">
      <c r="E101" s="1"/>
      <c r="F101" s="1"/>
      <c r="G101" s="1"/>
    </row>
    <row r="102" spans="5:7" x14ac:dyDescent="0.3">
      <c r="E102" s="1"/>
      <c r="F102" s="1"/>
      <c r="G102" s="1"/>
    </row>
    <row r="103" spans="5:7" x14ac:dyDescent="0.3">
      <c r="E103" s="1"/>
      <c r="F103" s="1"/>
      <c r="G103" s="1"/>
    </row>
    <row r="104" spans="5:7" x14ac:dyDescent="0.3">
      <c r="E104" s="1"/>
      <c r="F104" s="1"/>
      <c r="G104" s="1"/>
    </row>
    <row r="105" spans="5:7" x14ac:dyDescent="0.3">
      <c r="E105" s="1"/>
      <c r="F105" s="1"/>
      <c r="G105" s="1"/>
    </row>
    <row r="106" spans="5:7" x14ac:dyDescent="0.3">
      <c r="E106" s="1"/>
      <c r="F106" s="1"/>
      <c r="G106" s="1"/>
    </row>
    <row r="107" spans="5:7" x14ac:dyDescent="0.3">
      <c r="E107" s="1"/>
      <c r="F107" s="1"/>
      <c r="G107" s="1"/>
    </row>
    <row r="108" spans="5:7" x14ac:dyDescent="0.3">
      <c r="E108" s="1"/>
      <c r="F108" s="1"/>
      <c r="G108" s="1"/>
    </row>
    <row r="109" spans="5:7" x14ac:dyDescent="0.3">
      <c r="E109" s="1"/>
      <c r="F109" s="1"/>
      <c r="G109" s="1"/>
    </row>
    <row r="110" spans="5:7" x14ac:dyDescent="0.3">
      <c r="E110" s="1"/>
      <c r="F110" s="1"/>
      <c r="G110" s="1"/>
    </row>
    <row r="111" spans="5:7" x14ac:dyDescent="0.3">
      <c r="E111" s="1"/>
      <c r="F111" s="1"/>
      <c r="G111" s="1"/>
    </row>
    <row r="112" spans="5:7" x14ac:dyDescent="0.3">
      <c r="E112" s="1"/>
      <c r="F112" s="1"/>
      <c r="G112" s="1"/>
    </row>
    <row r="113" spans="5:7" x14ac:dyDescent="0.3">
      <c r="E113" s="1"/>
      <c r="F113" s="1"/>
      <c r="G113" s="1"/>
    </row>
    <row r="114" spans="5:7" x14ac:dyDescent="0.3">
      <c r="E114" s="1"/>
      <c r="F114" s="1"/>
      <c r="G114" s="1"/>
    </row>
    <row r="115" spans="5:7" x14ac:dyDescent="0.3">
      <c r="E115" s="1"/>
      <c r="F115" s="1"/>
      <c r="G115" s="1"/>
    </row>
    <row r="116" spans="5:7" x14ac:dyDescent="0.3">
      <c r="E116" s="1"/>
      <c r="F116" s="1"/>
      <c r="G116" s="1"/>
    </row>
    <row r="117" spans="5:7" x14ac:dyDescent="0.3">
      <c r="E117" s="1"/>
      <c r="F117" s="1"/>
      <c r="G117" s="1"/>
    </row>
    <row r="118" spans="5:7" x14ac:dyDescent="0.3">
      <c r="E118" s="1"/>
      <c r="F118" s="1"/>
      <c r="G118" s="1"/>
    </row>
    <row r="119" spans="5:7" x14ac:dyDescent="0.3">
      <c r="E119" s="1"/>
      <c r="F119" s="1"/>
      <c r="G119" s="1"/>
    </row>
    <row r="120" spans="5:7" x14ac:dyDescent="0.3">
      <c r="E120" s="1"/>
      <c r="F120" s="1"/>
      <c r="G120" s="1"/>
    </row>
    <row r="121" spans="5:7" x14ac:dyDescent="0.3">
      <c r="E121" s="1"/>
      <c r="F121" s="1"/>
      <c r="G121" s="1"/>
    </row>
    <row r="122" spans="5:7" x14ac:dyDescent="0.3">
      <c r="E122" s="1"/>
      <c r="F122" s="1"/>
      <c r="G122" s="1"/>
    </row>
    <row r="123" spans="5:7" x14ac:dyDescent="0.3">
      <c r="E123" s="1"/>
      <c r="F123" s="1"/>
      <c r="G123" s="1"/>
    </row>
    <row r="124" spans="5:7" x14ac:dyDescent="0.3">
      <c r="E124" s="1"/>
      <c r="F124" s="1"/>
      <c r="G124" s="1"/>
    </row>
    <row r="125" spans="5:7" x14ac:dyDescent="0.3">
      <c r="E125" s="1"/>
      <c r="F125" s="1"/>
      <c r="G125" s="1"/>
    </row>
    <row r="126" spans="5:7" x14ac:dyDescent="0.3">
      <c r="E126" s="1"/>
      <c r="F126" s="1"/>
      <c r="G126" s="1"/>
    </row>
    <row r="127" spans="5:7" x14ac:dyDescent="0.3">
      <c r="E127" s="1"/>
      <c r="F127" s="1"/>
      <c r="G127" s="1"/>
    </row>
    <row r="128" spans="5:7" x14ac:dyDescent="0.3">
      <c r="E128" s="1"/>
      <c r="F128" s="1"/>
      <c r="G128" s="1"/>
    </row>
    <row r="129" spans="5:7" x14ac:dyDescent="0.3">
      <c r="E129" s="1"/>
      <c r="F129" s="1"/>
      <c r="G129" s="1"/>
    </row>
    <row r="130" spans="5:7" x14ac:dyDescent="0.3">
      <c r="E130" s="1"/>
      <c r="F130" s="1"/>
      <c r="G130" s="1"/>
    </row>
    <row r="131" spans="5:7" x14ac:dyDescent="0.3">
      <c r="E131" s="1"/>
      <c r="F131" s="1"/>
      <c r="G131" s="1"/>
    </row>
    <row r="132" spans="5:7" x14ac:dyDescent="0.3">
      <c r="E132" s="1"/>
      <c r="F132" s="1"/>
      <c r="G132" s="1"/>
    </row>
    <row r="133" spans="5:7" x14ac:dyDescent="0.3">
      <c r="E133" s="1"/>
      <c r="F133" s="1"/>
      <c r="G133" s="1"/>
    </row>
    <row r="134" spans="5:7" x14ac:dyDescent="0.3">
      <c r="E134" s="1"/>
      <c r="F134" s="1"/>
      <c r="G134" s="1"/>
    </row>
    <row r="135" spans="5:7" x14ac:dyDescent="0.3">
      <c r="E135" s="1"/>
      <c r="F135" s="1"/>
      <c r="G135" s="1"/>
    </row>
    <row r="136" spans="5:7" x14ac:dyDescent="0.3">
      <c r="E136" s="1"/>
      <c r="F136" s="1"/>
      <c r="G136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EST1</vt:lpstr>
      <vt:lpstr>EST2</vt:lpstr>
      <vt:lpstr>SLI</vt:lpstr>
      <vt:lpstr>2403</vt:lpstr>
      <vt:lpstr>2501</vt:lpstr>
      <vt:lpstr>2502</vt:lpstr>
      <vt:lpstr>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Alfonso Alcantar Camarena</dc:creator>
  <cp:lastModifiedBy>VA</cp:lastModifiedBy>
  <dcterms:created xsi:type="dcterms:W3CDTF">2015-06-05T18:19:34Z</dcterms:created>
  <dcterms:modified xsi:type="dcterms:W3CDTF">2025-12-08T14:31:07Z</dcterms:modified>
</cp:coreProperties>
</file>